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sus\OneDrive\Desktop\AERO ORGANISED\MY WORK, PROJECTS ETC\RESEARCH &amp; PATENTS\ANUP SIR\ML_work 1st project\Optimising_conference_data\"/>
    </mc:Choice>
  </mc:AlternateContent>
  <xr:revisionPtr revIDLastSave="0" documentId="13_ncr:1_{42D2B41D-B6EF-483B-86F7-50E7AC40095A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PICET 202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7" i="5" l="1"/>
  <c r="O6" i="5"/>
  <c r="O7" i="5"/>
  <c r="O8" i="5"/>
  <c r="O9" i="5"/>
  <c r="O10" i="5"/>
  <c r="O11" i="5"/>
  <c r="O12" i="5"/>
  <c r="O13" i="5"/>
  <c r="O14" i="5"/>
  <c r="O15" i="5"/>
  <c r="O16" i="5"/>
  <c r="O5" i="5"/>
  <c r="E14" i="5" l="1"/>
  <c r="E13" i="5"/>
  <c r="E12" i="5"/>
  <c r="E11" i="5"/>
  <c r="E10" i="5"/>
  <c r="E9" i="5"/>
  <c r="E8" i="5"/>
  <c r="E7" i="5"/>
  <c r="E6" i="5"/>
  <c r="E5" i="5"/>
  <c r="J6" i="5" l="1"/>
  <c r="J7" i="5"/>
  <c r="J8" i="5"/>
  <c r="J9" i="5"/>
  <c r="J10" i="5"/>
  <c r="J11" i="5"/>
  <c r="J12" i="5"/>
  <c r="J13" i="5"/>
  <c r="J14" i="5"/>
  <c r="J15" i="5"/>
  <c r="J16" i="5"/>
  <c r="J17" i="5"/>
  <c r="J5" i="5"/>
</calcChain>
</file>

<file path=xl/sharedStrings.xml><?xml version="1.0" encoding="utf-8"?>
<sst xmlns="http://schemas.openxmlformats.org/spreadsheetml/2006/main" count="15" uniqueCount="7">
  <si>
    <t>AOA</t>
  </si>
  <si>
    <t>CL</t>
  </si>
  <si>
    <t>CD</t>
  </si>
  <si>
    <t>CL/CD</t>
  </si>
  <si>
    <t>Suction at 50% C</t>
  </si>
  <si>
    <t xml:space="preserve">Injection at 50% C 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</si>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</sst>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CL vs AOA</a:t>
            </a:r>
            <a:endParaRPr lang="en-IN" baseline="0"/>
          </a:p>
          <a:p>
            <a:pPr>
              <a:defRPr/>
            </a:pPr>
            <a:endParaRPr lang="en-IN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Baseline</c:v>
          </c:tx>
          <c:xVal>
            <c:numRef>
              <c:f>'PICET 2025'!$B$5:$B$14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'PICET 2025'!$C$5:$C$14</c:f>
              <c:numCache>
                <c:formatCode>General</c:formatCode>
                <c:ptCount val="10"/>
                <c:pt idx="0">
                  <c:v>0.15</c:v>
                </c:pt>
                <c:pt idx="1">
                  <c:v>0.35</c:v>
                </c:pt>
                <c:pt idx="2">
                  <c:v>0.57999999999999996</c:v>
                </c:pt>
                <c:pt idx="3">
                  <c:v>0.68</c:v>
                </c:pt>
                <c:pt idx="4">
                  <c:v>0.82</c:v>
                </c:pt>
                <c:pt idx="5">
                  <c:v>1</c:v>
                </c:pt>
                <c:pt idx="6">
                  <c:v>1.111</c:v>
                </c:pt>
                <c:pt idx="7">
                  <c:v>1.1879999999999999</c:v>
                </c:pt>
                <c:pt idx="8">
                  <c:v>1.18</c:v>
                </c:pt>
                <c:pt idx="9">
                  <c:v>1.1100000000000001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07-49D6-A16C-78578E81DBFD}"/>
            </c:ext>
          </c:extLst>
        </c:ser>
        <c:ser>
          <c:idx val="1"/>
          <c:order val="1"/>
          <c:tx>
            <c:v>Injection at 50% C</c:v>
          </c:tx>
          <c:xVal>
            <c:numRef>
              <c:f>'PICET 2025'!$G$5:$G$17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2025'!$H$5:$H$17</c:f>
              <c:numCache>
                <c:formatCode>General</c:formatCode>
                <c:ptCount val="13"/>
                <c:pt idx="0">
                  <c:v>0.35780000000000001</c:v>
                </c:pt>
                <c:pt idx="1">
                  <c:v>0.51119999999999999</c:v>
                </c:pt>
                <c:pt idx="2">
                  <c:v>0.74170000000000003</c:v>
                </c:pt>
                <c:pt idx="3">
                  <c:v>0.91910000000000003</c:v>
                </c:pt>
                <c:pt idx="4">
                  <c:v>1.0267999999999999</c:v>
                </c:pt>
                <c:pt idx="5">
                  <c:v>1.1634</c:v>
                </c:pt>
                <c:pt idx="6">
                  <c:v>1.3983000000000001</c:v>
                </c:pt>
                <c:pt idx="7">
                  <c:v>1.51</c:v>
                </c:pt>
                <c:pt idx="8">
                  <c:v>1.6422000000000001</c:v>
                </c:pt>
                <c:pt idx="9">
                  <c:v>1.7</c:v>
                </c:pt>
                <c:pt idx="10">
                  <c:v>1.7493000000000001</c:v>
                </c:pt>
                <c:pt idx="11">
                  <c:v>1.7793000000000001</c:v>
                </c:pt>
                <c:pt idx="12">
                  <c:v>1.6508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07-49D6-A16C-78578E81DBFD}"/>
            </c:ext>
          </c:extLst>
        </c:ser>
        <c:ser>
          <c:idx val="2"/>
          <c:order val="2"/>
          <c:tx>
            <c:v>Suction at 50% C</c:v>
          </c:tx>
          <c:xVal>
            <c:numRef>
              <c:f>'PICET 2025'!$L$5:$L$17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2025'!$M$5:$M$17</c:f>
              <c:numCache>
                <c:formatCode>General</c:formatCode>
                <c:ptCount val="13"/>
                <c:pt idx="0">
                  <c:v>0.6956</c:v>
                </c:pt>
                <c:pt idx="1">
                  <c:v>1.0224</c:v>
                </c:pt>
                <c:pt idx="2">
                  <c:v>1.4434</c:v>
                </c:pt>
                <c:pt idx="3">
                  <c:v>1.7982</c:v>
                </c:pt>
                <c:pt idx="4">
                  <c:v>2.0535999999999999</c:v>
                </c:pt>
                <c:pt idx="5">
                  <c:v>2.3268</c:v>
                </c:pt>
                <c:pt idx="6">
                  <c:v>2.6966000000000001</c:v>
                </c:pt>
                <c:pt idx="7">
                  <c:v>3.02</c:v>
                </c:pt>
                <c:pt idx="8">
                  <c:v>3.2844000000000002</c:v>
                </c:pt>
                <c:pt idx="9">
                  <c:v>3.4</c:v>
                </c:pt>
                <c:pt idx="10">
                  <c:v>3.4986000000000002</c:v>
                </c:pt>
                <c:pt idx="11">
                  <c:v>3.5586000000000002</c:v>
                </c:pt>
                <c:pt idx="12">
                  <c:v>3.3016000000000001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07-49D6-A16C-78578E81D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1152"/>
        <c:axId val="89123072"/>
      </c:scatterChart>
      <c:valAx>
        <c:axId val="8912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AOA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9123072"/>
        <c:crosses val="autoZero"/>
        <c:crossBetween val="midCat"/>
      </c:valAx>
      <c:valAx>
        <c:axId val="89123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91211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CD vs AOA 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Baseline</c:v>
          </c:tx>
          <c:xVal>
            <c:numRef>
              <c:f>'PICET 2025'!$B$5:$B$14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'PICET 2025'!$D$5:$D$14</c:f>
              <c:numCache>
                <c:formatCode>General</c:formatCode>
                <c:ptCount val="10"/>
                <c:pt idx="0">
                  <c:v>7.0000000000000001E-3</c:v>
                </c:pt>
                <c:pt idx="1">
                  <c:v>8.9999999999999993E-3</c:v>
                </c:pt>
                <c:pt idx="2">
                  <c:v>1.0999999999999999E-2</c:v>
                </c:pt>
                <c:pt idx="3">
                  <c:v>1.2200000000000001E-2</c:v>
                </c:pt>
                <c:pt idx="4">
                  <c:v>1.4999999999999999E-2</c:v>
                </c:pt>
                <c:pt idx="5">
                  <c:v>0.02</c:v>
                </c:pt>
                <c:pt idx="6">
                  <c:v>4.9000000000000002E-2</c:v>
                </c:pt>
                <c:pt idx="7">
                  <c:v>6.5000000000000002E-2</c:v>
                </c:pt>
                <c:pt idx="8">
                  <c:v>0.1</c:v>
                </c:pt>
                <c:pt idx="9">
                  <c:v>0.14499999999999999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C0-4E2C-8B5A-533DAFC9D93F}"/>
            </c:ext>
          </c:extLst>
        </c:ser>
        <c:ser>
          <c:idx val="1"/>
          <c:order val="1"/>
          <c:tx>
            <c:v>Injection at 50% C</c:v>
          </c:tx>
          <c:xVal>
            <c:numRef>
              <c:f>'PICET 2025'!$G$5:$G$17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2025'!$I$5:$I$17</c:f>
              <c:numCache>
                <c:formatCode>General</c:formatCode>
                <c:ptCount val="13"/>
                <c:pt idx="0">
                  <c:v>0.16259999999999999</c:v>
                </c:pt>
                <c:pt idx="1">
                  <c:v>0.18279999999999999</c:v>
                </c:pt>
                <c:pt idx="2">
                  <c:v>0.21590000000000001</c:v>
                </c:pt>
                <c:pt idx="3">
                  <c:v>0.25690000000000002</c:v>
                </c:pt>
                <c:pt idx="4">
                  <c:v>0.29759999999999998</c:v>
                </c:pt>
                <c:pt idx="5">
                  <c:v>0.35720000000000002</c:v>
                </c:pt>
                <c:pt idx="6">
                  <c:v>0.50760000000000005</c:v>
                </c:pt>
                <c:pt idx="7">
                  <c:v>0.64339999999999997</c:v>
                </c:pt>
                <c:pt idx="8">
                  <c:v>0.79090000000000005</c:v>
                </c:pt>
                <c:pt idx="9">
                  <c:v>0.89329999999999998</c:v>
                </c:pt>
                <c:pt idx="10">
                  <c:v>1.0065999999999999</c:v>
                </c:pt>
                <c:pt idx="11">
                  <c:v>1.1189</c:v>
                </c:pt>
                <c:pt idx="12">
                  <c:v>1.2472000000000001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C0-4E2C-8B5A-533DAFC9D93F}"/>
            </c:ext>
          </c:extLst>
        </c:ser>
        <c:ser>
          <c:idx val="2"/>
          <c:order val="2"/>
          <c:tx>
            <c:v>Suction at 50% C</c:v>
          </c:tx>
          <c:xVal>
            <c:numRef>
              <c:f>'PICET 2025'!$L$5:$L$17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2025'!$N$5:$N$17</c:f>
              <c:numCache>
                <c:formatCode>General</c:formatCode>
                <c:ptCount val="13"/>
                <c:pt idx="0">
                  <c:v>0.13821</c:v>
                </c:pt>
                <c:pt idx="1">
                  <c:v>0.15537999999999999</c:v>
                </c:pt>
                <c:pt idx="2">
                  <c:v>0.18351500000000001</c:v>
                </c:pt>
                <c:pt idx="3">
                  <c:v>0.21836500000000003</c:v>
                </c:pt>
                <c:pt idx="4">
                  <c:v>0.25295999999999996</c:v>
                </c:pt>
                <c:pt idx="5">
                  <c:v>0.30362</c:v>
                </c:pt>
                <c:pt idx="6">
                  <c:v>0.43146000000000007</c:v>
                </c:pt>
                <c:pt idx="7">
                  <c:v>0.54688999999999999</c:v>
                </c:pt>
                <c:pt idx="8">
                  <c:v>0.672265</c:v>
                </c:pt>
                <c:pt idx="9">
                  <c:v>0.75930500000000001</c:v>
                </c:pt>
                <c:pt idx="10">
                  <c:v>0.85560999999999998</c:v>
                </c:pt>
                <c:pt idx="11">
                  <c:v>0.95106500000000005</c:v>
                </c:pt>
                <c:pt idx="12">
                  <c:v>1.0601200000000002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C0-4E2C-8B5A-533DAFC9D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7120"/>
        <c:axId val="90999040"/>
      </c:scatterChart>
      <c:valAx>
        <c:axId val="9099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AOA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0999040"/>
        <c:crosses val="autoZero"/>
        <c:crossBetween val="midCat"/>
      </c:valAx>
      <c:valAx>
        <c:axId val="90999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0997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18</xdr:row>
      <xdr:rowOff>33336</xdr:rowOff>
    </xdr:from>
    <xdr:to>
      <xdr:col>10</xdr:col>
      <xdr:colOff>533399</xdr:colOff>
      <xdr:row>34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285749</xdr:colOff>
      <xdr:row>18</xdr:row>
      <xdr:rowOff>42862</xdr:rowOff>
    </xdr:from>
    <xdr:to>
      <xdr:col>20</xdr:col>
      <xdr:colOff>504825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7"/>
  <sheetViews>
    <sheetView tabSelected="1" zoomScale="115" zoomScaleNormal="115" workbookViewId="0">
      <selection activeCell="H11" sqref="H11"/>
    </sheetView>
  </sheetViews>
  <sheetFormatPr defaultRowHeight="15" x14ac:dyDescent="0.25"/>
  <sheetData>
    <row r="1" spans="2:18" ht="15.75" thickBot="1" x14ac:dyDescent="0.3"/>
    <row r="2" spans="2:18" ht="19.5" customHeight="1" thickBot="1" x14ac:dyDescent="0.35">
      <c r="B2" s="9" t="s">
        <v>6</v>
      </c>
      <c r="C2" s="10"/>
      <c r="D2" s="10"/>
      <c r="E2" s="11"/>
      <c r="G2" s="9" t="s">
        <v>5</v>
      </c>
      <c r="H2" s="10"/>
      <c r="I2" s="10"/>
      <c r="J2" s="11"/>
      <c r="L2" s="9" t="s">
        <v>4</v>
      </c>
      <c r="M2" s="10"/>
      <c r="N2" s="10"/>
      <c r="O2" s="11"/>
    </row>
    <row r="4" spans="2:18" ht="15.75" x14ac:dyDescent="0.25">
      <c r="B4" s="6" t="s">
        <v>0</v>
      </c>
      <c r="C4" s="6" t="s">
        <v>1</v>
      </c>
      <c r="D4" s="6" t="s">
        <v>2</v>
      </c>
      <c r="E4" s="6" t="s">
        <v>3</v>
      </c>
      <c r="G4" s="2" t="s">
        <v>0</v>
      </c>
      <c r="H4" s="2" t="s">
        <v>1</v>
      </c>
      <c r="I4" s="2" t="s">
        <v>2</v>
      </c>
      <c r="J4" s="2" t="s">
        <v>3</v>
      </c>
      <c r="L4" s="2" t="s">
        <v>0</v>
      </c>
      <c r="M4" s="2" t="s">
        <v>1</v>
      </c>
      <c r="N4" s="2" t="s">
        <v>2</v>
      </c>
      <c r="O4" s="2" t="s">
        <v>3</v>
      </c>
    </row>
    <row r="5" spans="2:18" x14ac:dyDescent="0.25">
      <c r="B5" s="3">
        <v>0</v>
      </c>
      <c r="C5" s="3">
        <v>0.15</v>
      </c>
      <c r="D5" s="1">
        <v>7.0000000000000001E-3</v>
      </c>
      <c r="E5" s="1">
        <f>C5/D5</f>
        <v>21.428571428571427</v>
      </c>
      <c r="G5" s="3">
        <v>0</v>
      </c>
      <c r="H5" s="3">
        <v>0.35780000000000001</v>
      </c>
      <c r="I5" s="3">
        <v>0.16259999999999999</v>
      </c>
      <c r="J5" s="3">
        <f>H5/I5</f>
        <v>2.2004920049200494</v>
      </c>
      <c r="L5" s="3">
        <v>0</v>
      </c>
      <c r="M5" s="3">
        <v>0.6956</v>
      </c>
      <c r="N5" s="3">
        <v>0.13821</v>
      </c>
      <c r="O5" s="3">
        <f>M5/N5</f>
        <v>5.0329209174444687</v>
      </c>
    </row>
    <row r="6" spans="2:18" x14ac:dyDescent="0.25">
      <c r="B6" s="3">
        <v>2</v>
      </c>
      <c r="C6" s="3">
        <v>0.35</v>
      </c>
      <c r="D6" s="1">
        <v>8.9999999999999993E-3</v>
      </c>
      <c r="E6" s="1">
        <f t="shared" ref="E6:E14" si="0">C6/D6</f>
        <v>38.888888888888893</v>
      </c>
      <c r="G6" s="3">
        <v>2</v>
      </c>
      <c r="H6" s="3">
        <v>0.51119999999999999</v>
      </c>
      <c r="I6" s="3">
        <v>0.18279999999999999</v>
      </c>
      <c r="J6" s="3">
        <f t="shared" ref="J6:J17" si="1">H6/I6</f>
        <v>2.7964989059080962</v>
      </c>
      <c r="L6" s="3">
        <v>2</v>
      </c>
      <c r="M6" s="3">
        <v>1.0224</v>
      </c>
      <c r="N6" s="3">
        <v>0.15537999999999999</v>
      </c>
      <c r="O6" s="3">
        <f t="shared" ref="O6:O17" si="2">M6/N6</f>
        <v>6.5799974256661091</v>
      </c>
    </row>
    <row r="7" spans="2:18" x14ac:dyDescent="0.25">
      <c r="B7" s="3">
        <v>4</v>
      </c>
      <c r="C7" s="3">
        <v>0.57999999999999996</v>
      </c>
      <c r="D7" s="1">
        <v>1.0999999999999999E-2</v>
      </c>
      <c r="E7" s="1">
        <f t="shared" si="0"/>
        <v>52.727272727272727</v>
      </c>
      <c r="G7" s="3">
        <v>5</v>
      </c>
      <c r="H7" s="3">
        <v>0.74170000000000003</v>
      </c>
      <c r="I7" s="3">
        <v>0.21590000000000001</v>
      </c>
      <c r="J7" s="3">
        <f t="shared" si="1"/>
        <v>3.4353867531264473</v>
      </c>
      <c r="L7" s="3">
        <v>5</v>
      </c>
      <c r="M7" s="3">
        <v>1.4434</v>
      </c>
      <c r="N7" s="3">
        <v>0.18351500000000001</v>
      </c>
      <c r="O7" s="3">
        <f t="shared" si="2"/>
        <v>7.8652971146772739</v>
      </c>
    </row>
    <row r="8" spans="2:18" x14ac:dyDescent="0.25">
      <c r="B8" s="3">
        <v>6</v>
      </c>
      <c r="C8" s="3">
        <v>0.68</v>
      </c>
      <c r="D8" s="1">
        <v>1.2200000000000001E-2</v>
      </c>
      <c r="E8" s="1">
        <f t="shared" si="0"/>
        <v>55.73770491803279</v>
      </c>
      <c r="G8" s="3">
        <v>8</v>
      </c>
      <c r="H8" s="3">
        <v>0.91910000000000003</v>
      </c>
      <c r="I8" s="3">
        <v>0.25690000000000002</v>
      </c>
      <c r="J8" s="3">
        <f t="shared" si="1"/>
        <v>3.5776566757493184</v>
      </c>
      <c r="L8" s="3">
        <v>8</v>
      </c>
      <c r="M8" s="3">
        <v>1.7982</v>
      </c>
      <c r="N8" s="3">
        <v>0.21836500000000003</v>
      </c>
      <c r="O8" s="3">
        <f t="shared" si="2"/>
        <v>8.2348361687999443</v>
      </c>
    </row>
    <row r="9" spans="2:18" x14ac:dyDescent="0.25">
      <c r="B9" s="3">
        <v>8</v>
      </c>
      <c r="C9" s="3">
        <v>0.82</v>
      </c>
      <c r="D9" s="1">
        <v>1.4999999999999999E-2</v>
      </c>
      <c r="E9" s="1">
        <f t="shared" si="0"/>
        <v>54.666666666666664</v>
      </c>
      <c r="G9" s="3">
        <v>10</v>
      </c>
      <c r="H9" s="3">
        <v>1.0267999999999999</v>
      </c>
      <c r="I9" s="3">
        <v>0.29759999999999998</v>
      </c>
      <c r="J9" s="3">
        <f t="shared" si="1"/>
        <v>3.450268817204301</v>
      </c>
      <c r="L9" s="3">
        <v>10</v>
      </c>
      <c r="M9" s="3">
        <v>2.0535999999999999</v>
      </c>
      <c r="N9" s="3">
        <v>0.25295999999999996</v>
      </c>
      <c r="O9" s="3">
        <f t="shared" si="2"/>
        <v>8.1182795698924739</v>
      </c>
    </row>
    <row r="10" spans="2:18" x14ac:dyDescent="0.25">
      <c r="B10" s="3">
        <v>10</v>
      </c>
      <c r="C10" s="3">
        <v>1</v>
      </c>
      <c r="D10" s="1">
        <v>0.02</v>
      </c>
      <c r="E10" s="1">
        <f t="shared" si="0"/>
        <v>50</v>
      </c>
      <c r="G10" s="3">
        <v>12</v>
      </c>
      <c r="H10" s="3">
        <v>1.1634</v>
      </c>
      <c r="I10" s="3">
        <v>0.35720000000000002</v>
      </c>
      <c r="J10" s="3">
        <f t="shared" si="1"/>
        <v>3.2569988801791712</v>
      </c>
      <c r="L10" s="3">
        <v>12</v>
      </c>
      <c r="M10" s="3">
        <v>2.3268</v>
      </c>
      <c r="N10" s="3">
        <v>0.30362</v>
      </c>
      <c r="O10" s="3">
        <f t="shared" si="2"/>
        <v>7.6635267768921675</v>
      </c>
    </row>
    <row r="11" spans="2:18" x14ac:dyDescent="0.25">
      <c r="B11" s="4">
        <v>13</v>
      </c>
      <c r="C11" s="4">
        <v>1.111</v>
      </c>
      <c r="D11" s="4">
        <v>4.9000000000000002E-2</v>
      </c>
      <c r="E11" s="4">
        <f t="shared" si="0"/>
        <v>22.673469387755102</v>
      </c>
      <c r="G11" s="3">
        <v>15</v>
      </c>
      <c r="H11" s="3">
        <v>1.3983000000000001</v>
      </c>
      <c r="I11" s="3">
        <v>0.50760000000000005</v>
      </c>
      <c r="J11" s="3">
        <f t="shared" si="1"/>
        <v>2.7547281323877066</v>
      </c>
      <c r="L11" s="3">
        <v>15</v>
      </c>
      <c r="M11" s="3">
        <v>2.6966000000000001</v>
      </c>
      <c r="N11" s="3">
        <v>0.43146000000000007</v>
      </c>
      <c r="O11" s="3">
        <f t="shared" si="2"/>
        <v>6.2499420572011299</v>
      </c>
    </row>
    <row r="12" spans="2:18" x14ac:dyDescent="0.25">
      <c r="B12" s="3">
        <v>15</v>
      </c>
      <c r="C12" s="3">
        <v>1.1879999999999999</v>
      </c>
      <c r="D12" s="1">
        <v>6.5000000000000002E-2</v>
      </c>
      <c r="E12" s="1">
        <f t="shared" si="0"/>
        <v>18.276923076923076</v>
      </c>
      <c r="G12" s="3">
        <v>18</v>
      </c>
      <c r="H12" s="3">
        <v>1.51</v>
      </c>
      <c r="I12" s="3">
        <v>0.64339999999999997</v>
      </c>
      <c r="J12" s="3">
        <f t="shared" si="1"/>
        <v>2.3469070562635999</v>
      </c>
      <c r="L12" s="3">
        <v>18</v>
      </c>
      <c r="M12" s="3">
        <v>3.02</v>
      </c>
      <c r="N12" s="3">
        <v>0.54688999999999999</v>
      </c>
      <c r="O12" s="3">
        <f t="shared" si="2"/>
        <v>5.522134250031999</v>
      </c>
    </row>
    <row r="13" spans="2:18" x14ac:dyDescent="0.25">
      <c r="B13" s="3">
        <v>18</v>
      </c>
      <c r="C13" s="3">
        <v>1.18</v>
      </c>
      <c r="D13" s="1">
        <v>0.1</v>
      </c>
      <c r="E13" s="1">
        <f t="shared" si="0"/>
        <v>11.799999999999999</v>
      </c>
      <c r="G13" s="3">
        <v>20</v>
      </c>
      <c r="H13" s="3">
        <v>1.6422000000000001</v>
      </c>
      <c r="I13" s="3">
        <v>0.79090000000000005</v>
      </c>
      <c r="J13" s="3">
        <f t="shared" si="1"/>
        <v>2.0763686938930332</v>
      </c>
      <c r="L13" s="3">
        <v>20</v>
      </c>
      <c r="M13" s="3">
        <v>3.2844000000000002</v>
      </c>
      <c r="N13" s="3">
        <v>0.672265</v>
      </c>
      <c r="O13" s="3">
        <f t="shared" si="2"/>
        <v>4.8855733973953726</v>
      </c>
    </row>
    <row r="14" spans="2:18" x14ac:dyDescent="0.25">
      <c r="B14" s="3">
        <v>20</v>
      </c>
      <c r="C14" s="3">
        <v>1.1100000000000001</v>
      </c>
      <c r="D14" s="1">
        <v>0.14499999999999999</v>
      </c>
      <c r="E14" s="1">
        <f t="shared" si="0"/>
        <v>7.655172413793105</v>
      </c>
      <c r="G14" s="3">
        <v>22</v>
      </c>
      <c r="H14" s="3">
        <v>1.7</v>
      </c>
      <c r="I14" s="3">
        <v>0.89329999999999998</v>
      </c>
      <c r="J14" s="3">
        <f t="shared" si="1"/>
        <v>1.9030560841822457</v>
      </c>
      <c r="L14" s="3">
        <v>22</v>
      </c>
      <c r="M14" s="3">
        <v>3.4</v>
      </c>
      <c r="N14" s="3">
        <v>0.75930500000000001</v>
      </c>
      <c r="O14" s="3">
        <f t="shared" si="2"/>
        <v>4.4777790216052837</v>
      </c>
    </row>
    <row r="15" spans="2:18" x14ac:dyDescent="0.25">
      <c r="G15" s="3">
        <v>24</v>
      </c>
      <c r="H15" s="3">
        <v>1.7493000000000001</v>
      </c>
      <c r="I15" s="3">
        <v>1.0065999999999999</v>
      </c>
      <c r="J15" s="3">
        <f t="shared" si="1"/>
        <v>1.7378303198887346</v>
      </c>
      <c r="L15" s="3">
        <v>24</v>
      </c>
      <c r="M15" s="3">
        <v>3.4986000000000002</v>
      </c>
      <c r="N15" s="3">
        <v>0.85560999999999998</v>
      </c>
      <c r="O15" s="3">
        <f t="shared" si="2"/>
        <v>4.0890125173852576</v>
      </c>
    </row>
    <row r="16" spans="2:18" x14ac:dyDescent="0.25">
      <c r="G16" s="4">
        <v>26</v>
      </c>
      <c r="H16" s="4">
        <v>1.7793000000000001</v>
      </c>
      <c r="I16" s="4">
        <v>1.1189</v>
      </c>
      <c r="J16" s="4">
        <f t="shared" si="1"/>
        <v>1.5902225399946377</v>
      </c>
      <c r="L16" s="4">
        <v>26</v>
      </c>
      <c r="M16" s="4">
        <v>3.5586000000000002</v>
      </c>
      <c r="N16" s="4">
        <v>0.95106500000000005</v>
      </c>
      <c r="O16" s="4">
        <f t="shared" si="2"/>
        <v>3.7417000941050298</v>
      </c>
      <c r="Q16" s="7"/>
      <c r="R16" s="8"/>
    </row>
    <row r="17" spans="7:18" x14ac:dyDescent="0.25">
      <c r="G17" s="5">
        <v>28</v>
      </c>
      <c r="H17" s="5">
        <v>1.6508</v>
      </c>
      <c r="I17" s="3">
        <v>1.2472000000000001</v>
      </c>
      <c r="J17" s="3">
        <f t="shared" si="1"/>
        <v>1.3236048749198204</v>
      </c>
      <c r="L17" s="5">
        <v>28</v>
      </c>
      <c r="M17" s="3">
        <v>3.3016000000000001</v>
      </c>
      <c r="N17" s="3">
        <v>1.0601200000000002</v>
      </c>
      <c r="O17" s="5">
        <f t="shared" si="2"/>
        <v>3.1143644115760476</v>
      </c>
      <c r="Q17" s="7"/>
      <c r="R17" s="8"/>
    </row>
  </sheetData>
  <mergeCells count="3">
    <mergeCell ref="B2:E2"/>
    <mergeCell ref="G2:J2"/>
    <mergeCell ref="L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PICET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Mugisha Enoch</cp:lastModifiedBy>
  <dcterms:created xsi:type="dcterms:W3CDTF">2025-02-26T17:43:25Z</dcterms:created>
  <dcterms:modified xsi:type="dcterms:W3CDTF">2025-10-07T09:03:23Z</dcterms:modified>
</cp:coreProperties>
</file>