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sus\OneDrive\Desktop\AERO ORGANISED\MY WORK, PROJECTS ETC\RESEARCH &amp; PATENTS\ANUP SIR\Optimising_conference_data\"/>
    </mc:Choice>
  </mc:AlternateContent>
  <xr:revisionPtr revIDLastSave="0" documentId="13_ncr:1_{1B768F0B-F530-40AC-8803-022967D05B0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ICET 2025" sheetId="5" r:id="rId1"/>
    <sheet name="Suction_only result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8" i="5" l="1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67" i="5"/>
  <c r="O17" i="5"/>
  <c r="O6" i="5"/>
  <c r="O7" i="5"/>
  <c r="O8" i="5"/>
  <c r="O9" i="5"/>
  <c r="O10" i="5"/>
  <c r="O11" i="5"/>
  <c r="O12" i="5"/>
  <c r="O13" i="5"/>
  <c r="O14" i="5"/>
  <c r="O15" i="5"/>
  <c r="O16" i="5"/>
  <c r="O5" i="5"/>
  <c r="E14" i="5" l="1"/>
  <c r="E13" i="5"/>
  <c r="E12" i="5"/>
  <c r="E11" i="5"/>
  <c r="E10" i="5"/>
  <c r="E9" i="5"/>
  <c r="E8" i="5"/>
  <c r="E7" i="5"/>
  <c r="E6" i="5"/>
  <c r="E5" i="5"/>
  <c r="J6" i="5" l="1"/>
  <c r="J7" i="5"/>
  <c r="J8" i="5"/>
  <c r="J9" i="5"/>
  <c r="J10" i="5"/>
  <c r="J11" i="5"/>
  <c r="J12" i="5"/>
  <c r="J13" i="5"/>
  <c r="J14" i="5"/>
  <c r="J15" i="5"/>
  <c r="J16" i="5"/>
  <c r="J17" i="5"/>
  <c r="J5" i="5"/>
</calcChain>
</file>

<file path=xl/sharedStrings.xml><?xml version="1.0" encoding="utf-8"?>
<sst xmlns="http://schemas.openxmlformats.org/spreadsheetml/2006/main" count="74" uniqueCount="29">
  <si>
    <t>AOA</t>
  </si>
  <si>
    <t>CL</t>
  </si>
  <si>
    <t>CD</t>
  </si>
  <si>
    <t>CL/CD</t>
  </si>
  <si>
    <t>Suction at 50% C</t>
  </si>
  <si>
    <t xml:space="preserve">Injection at 50% C </t>
  </si>
  <si>
    <t>Baseline</t>
  </si>
  <si>
    <t>aoa</t>
  </si>
  <si>
    <t>optimised_cl</t>
  </si>
  <si>
    <t>optimal_suction_loc</t>
  </si>
  <si>
    <t>optimal_suction_slot_size</t>
  </si>
  <si>
    <t>re_values</t>
  </si>
  <si>
    <t>chord_length</t>
  </si>
  <si>
    <t>For graph plotting</t>
  </si>
  <si>
    <t>optimisation + stabilisation</t>
  </si>
  <si>
    <t>Calculated suction_loc &amp; slot size --changing Re</t>
  </si>
  <si>
    <t>Optimised Suction # 1 -- No stabilisation</t>
  </si>
  <si>
    <t>Calculated_suction loc w/o slot size</t>
  </si>
  <si>
    <t>optimised_cd</t>
  </si>
  <si>
    <t>suction location%</t>
  </si>
  <si>
    <t>optimal_suction_loc(mm)</t>
  </si>
  <si>
    <t>optimal_suction_slot_size(mm)</t>
  </si>
  <si>
    <t>suction_slot_size %</t>
  </si>
  <si>
    <t>Optimised CD -- suction -only</t>
  </si>
  <si>
    <t>Optimised CL - Injection only</t>
  </si>
  <si>
    <t>optimal_injection_loc</t>
  </si>
  <si>
    <t>optimal_injection_slot_size</t>
  </si>
  <si>
    <t>Optmised CD -Injection only</t>
  </si>
  <si>
    <t>optimised CL - suction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</si>
</sst>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2" xfId="0" applyFont="1" applyBorder="1"/>
    <xf numFmtId="0" fontId="1" fillId="0" borderId="0" xfId="0" applyFont="1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3" xfId="0" applyBorder="1"/>
    <xf numFmtId="0" fontId="4" fillId="0" borderId="0" xfId="0" applyFont="1"/>
    <xf numFmtId="0" fontId="1" fillId="0" borderId="3" xfId="0" applyFont="1" applyBorder="1"/>
    <xf numFmtId="0" fontId="1" fillId="0" borderId="4" xfId="0" applyFont="1" applyBorder="1"/>
    <xf numFmtId="0" fontId="5" fillId="0" borderId="0" xfId="0" applyFont="1" applyFill="1" applyAlignment="1">
      <alignment horizontal="right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CL vs AOA</a:t>
            </a:r>
            <a:endParaRPr lang="en-IN" baseline="0"/>
          </a:p>
          <a:p>
            <a:pPr>
              <a:defRPr/>
            </a:pPr>
            <a:endParaRPr lang="en-IN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Baseline</c:v>
          </c:tx>
          <c:xVal>
            <c:numRef>
              <c:f>'PICET 2025'!$B$5:$B$14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'PICET 2025'!$C$5:$C$14</c:f>
              <c:numCache>
                <c:formatCode>General</c:formatCode>
                <c:ptCount val="10"/>
                <c:pt idx="0">
                  <c:v>0.15</c:v>
                </c:pt>
                <c:pt idx="1">
                  <c:v>0.35</c:v>
                </c:pt>
                <c:pt idx="2">
                  <c:v>0.57999999999999996</c:v>
                </c:pt>
                <c:pt idx="3">
                  <c:v>0.68</c:v>
                </c:pt>
                <c:pt idx="4">
                  <c:v>0.82</c:v>
                </c:pt>
                <c:pt idx="5">
                  <c:v>1</c:v>
                </c:pt>
                <c:pt idx="6">
                  <c:v>1.111</c:v>
                </c:pt>
                <c:pt idx="7">
                  <c:v>1.1879999999999999</c:v>
                </c:pt>
                <c:pt idx="8">
                  <c:v>1.18</c:v>
                </c:pt>
                <c:pt idx="9">
                  <c:v>1.1100000000000001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07-49D6-A16C-78578E81DBFD}"/>
            </c:ext>
          </c:extLst>
        </c:ser>
        <c:ser>
          <c:idx val="1"/>
          <c:order val="1"/>
          <c:tx>
            <c:v>Injection at 50% C</c:v>
          </c:tx>
          <c:xVal>
            <c:numRef>
              <c:f>'PICET 2025'!$G$5:$G$17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</c:numCache>
            </c:numRef>
          </c:xVal>
          <c:yVal>
            <c:numRef>
              <c:f>'PICET 2025'!$H$5:$H$17</c:f>
              <c:numCache>
                <c:formatCode>General</c:formatCode>
                <c:ptCount val="13"/>
                <c:pt idx="0">
                  <c:v>0.35780000000000001</c:v>
                </c:pt>
                <c:pt idx="1">
                  <c:v>0.51119999999999999</c:v>
                </c:pt>
                <c:pt idx="2">
                  <c:v>0.74170000000000003</c:v>
                </c:pt>
                <c:pt idx="3">
                  <c:v>0.91910000000000003</c:v>
                </c:pt>
                <c:pt idx="4">
                  <c:v>1.0267999999999999</c:v>
                </c:pt>
                <c:pt idx="5">
                  <c:v>1.1634</c:v>
                </c:pt>
                <c:pt idx="6">
                  <c:v>1.3983000000000001</c:v>
                </c:pt>
                <c:pt idx="7">
                  <c:v>1.51</c:v>
                </c:pt>
                <c:pt idx="8">
                  <c:v>1.6422000000000001</c:v>
                </c:pt>
                <c:pt idx="9">
                  <c:v>1.7</c:v>
                </c:pt>
                <c:pt idx="10">
                  <c:v>1.7493000000000001</c:v>
                </c:pt>
                <c:pt idx="11">
                  <c:v>1.7793000000000001</c:v>
                </c:pt>
                <c:pt idx="12">
                  <c:v>1.6508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07-49D6-A16C-78578E81DBFD}"/>
            </c:ext>
          </c:extLst>
        </c:ser>
        <c:ser>
          <c:idx val="2"/>
          <c:order val="2"/>
          <c:tx>
            <c:v>Suction at 50% C</c:v>
          </c:tx>
          <c:xVal>
            <c:numRef>
              <c:f>'PICET 2025'!$L$5:$L$17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</c:numCache>
            </c:numRef>
          </c:xVal>
          <c:yVal>
            <c:numRef>
              <c:f>'PICET 2025'!$M$5:$M$17</c:f>
              <c:numCache>
                <c:formatCode>General</c:formatCode>
                <c:ptCount val="13"/>
                <c:pt idx="0">
                  <c:v>0.6956</c:v>
                </c:pt>
                <c:pt idx="1">
                  <c:v>1.0224</c:v>
                </c:pt>
                <c:pt idx="2">
                  <c:v>1.4434</c:v>
                </c:pt>
                <c:pt idx="3">
                  <c:v>1.7982</c:v>
                </c:pt>
                <c:pt idx="4">
                  <c:v>2.0535999999999999</c:v>
                </c:pt>
                <c:pt idx="5">
                  <c:v>2.3268</c:v>
                </c:pt>
                <c:pt idx="6">
                  <c:v>2.6966000000000001</c:v>
                </c:pt>
                <c:pt idx="7">
                  <c:v>3.02</c:v>
                </c:pt>
                <c:pt idx="8">
                  <c:v>3.2844000000000002</c:v>
                </c:pt>
                <c:pt idx="9">
                  <c:v>3.4</c:v>
                </c:pt>
                <c:pt idx="10">
                  <c:v>3.4986000000000002</c:v>
                </c:pt>
                <c:pt idx="11">
                  <c:v>3.5586000000000002</c:v>
                </c:pt>
                <c:pt idx="12">
                  <c:v>3.3016000000000001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07-49D6-A16C-78578E81DBFD}"/>
            </c:ext>
          </c:extLst>
        </c:ser>
        <c:ser>
          <c:idx val="3"/>
          <c:order val="3"/>
          <c:tx>
            <c:strRef>
              <c:f>'PICET 2025'!$AA$66</c:f>
              <c:strCache>
                <c:ptCount val="1"/>
                <c:pt idx="0">
                  <c:v>optimised CL - suction only</c:v>
                </c:pt>
              </c:strCache>
            </c:strRef>
          </c:tx>
          <c:xVal>
            <c:numRef>
              <c:f>'PICET 2025'!$Z$68:$Z$96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'PICET 2025'!$AA$68:$AA$96</c:f>
              <c:numCache>
                <c:formatCode>General</c:formatCode>
                <c:ptCount val="29"/>
                <c:pt idx="0">
                  <c:v>1.956539</c:v>
                </c:pt>
                <c:pt idx="1">
                  <c:v>1.9997560000000001</c:v>
                </c:pt>
                <c:pt idx="2">
                  <c:v>2.0416530000000002</c:v>
                </c:pt>
                <c:pt idx="3">
                  <c:v>2.0826910000000001</c:v>
                </c:pt>
                <c:pt idx="4">
                  <c:v>2.1237469999999998</c:v>
                </c:pt>
                <c:pt idx="5">
                  <c:v>2.1648040000000002</c:v>
                </c:pt>
                <c:pt idx="6">
                  <c:v>2.2055509999999998</c:v>
                </c:pt>
                <c:pt idx="7">
                  <c:v>2.2462029999999999</c:v>
                </c:pt>
                <c:pt idx="8">
                  <c:v>2.287979</c:v>
                </c:pt>
                <c:pt idx="9">
                  <c:v>2.3294990000000002</c:v>
                </c:pt>
                <c:pt idx="10">
                  <c:v>2.368026</c:v>
                </c:pt>
                <c:pt idx="11">
                  <c:v>2.4012069999999999</c:v>
                </c:pt>
                <c:pt idx="12">
                  <c:v>2.4616910000000001</c:v>
                </c:pt>
                <c:pt idx="13">
                  <c:v>2.548419</c:v>
                </c:pt>
                <c:pt idx="14">
                  <c:v>2.6457739999999998</c:v>
                </c:pt>
                <c:pt idx="15">
                  <c:v>2.7490869999999998</c:v>
                </c:pt>
                <c:pt idx="16">
                  <c:v>2.8636949999999999</c:v>
                </c:pt>
                <c:pt idx="17">
                  <c:v>2.9775800000000001</c:v>
                </c:pt>
                <c:pt idx="18">
                  <c:v>3.0924580000000002</c:v>
                </c:pt>
                <c:pt idx="19">
                  <c:v>3.2029179999999999</c:v>
                </c:pt>
                <c:pt idx="20">
                  <c:v>3.2959429999999998</c:v>
                </c:pt>
                <c:pt idx="21">
                  <c:v>3.3703669999999999</c:v>
                </c:pt>
                <c:pt idx="22">
                  <c:v>3.4109029999999998</c:v>
                </c:pt>
                <c:pt idx="23">
                  <c:v>3.442507</c:v>
                </c:pt>
                <c:pt idx="24">
                  <c:v>3.4648119999999998</c:v>
                </c:pt>
                <c:pt idx="25">
                  <c:v>3.4834900000000002</c:v>
                </c:pt>
                <c:pt idx="26">
                  <c:v>3.5001600000000002</c:v>
                </c:pt>
                <c:pt idx="27">
                  <c:v>3.5188790000000001</c:v>
                </c:pt>
                <c:pt idx="28">
                  <c:v>3.550224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7D-4A5B-B0FE-555F21156ABC}"/>
            </c:ext>
          </c:extLst>
        </c:ser>
        <c:ser>
          <c:idx val="4"/>
          <c:order val="4"/>
          <c:tx>
            <c:strRef>
              <c:f>'PICET 2025'!$E$101</c:f>
              <c:strCache>
                <c:ptCount val="1"/>
                <c:pt idx="0">
                  <c:v>Optimised CL - Injection only</c:v>
                </c:pt>
              </c:strCache>
            </c:strRef>
          </c:tx>
          <c:xVal>
            <c:numRef>
              <c:f>'PICET 2025'!$D$103:$D$132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'PICET 2025'!$E$103:$E$132</c:f>
              <c:numCache>
                <c:formatCode>General</c:formatCode>
                <c:ptCount val="30"/>
                <c:pt idx="0">
                  <c:v>1.277936841</c:v>
                </c:pt>
                <c:pt idx="1">
                  <c:v>1.317499733</c:v>
                </c:pt>
                <c:pt idx="2">
                  <c:v>1.409072538</c:v>
                </c:pt>
                <c:pt idx="3">
                  <c:v>1.4640328410000001</c:v>
                </c:pt>
                <c:pt idx="4">
                  <c:v>1.5143714420000001</c:v>
                </c:pt>
                <c:pt idx="5">
                  <c:v>1.561760464</c:v>
                </c:pt>
                <c:pt idx="6">
                  <c:v>1.6169347439999999</c:v>
                </c:pt>
                <c:pt idx="7">
                  <c:v>1.6706881280000001</c:v>
                </c:pt>
                <c:pt idx="8">
                  <c:v>1.7202209980000001</c:v>
                </c:pt>
                <c:pt idx="9">
                  <c:v>1.7656812129999999</c:v>
                </c:pt>
                <c:pt idx="10">
                  <c:v>1.811461786</c:v>
                </c:pt>
                <c:pt idx="11">
                  <c:v>1.8555456020000001</c:v>
                </c:pt>
                <c:pt idx="12">
                  <c:v>1.8954107490000001</c:v>
                </c:pt>
                <c:pt idx="13">
                  <c:v>1.9326332749999999</c:v>
                </c:pt>
                <c:pt idx="14">
                  <c:v>1.9650374340000001</c:v>
                </c:pt>
                <c:pt idx="15">
                  <c:v>1.9801850249999999</c:v>
                </c:pt>
                <c:pt idx="16">
                  <c:v>2.0257274390000002</c:v>
                </c:pt>
                <c:pt idx="17">
                  <c:v>2.064739442</c:v>
                </c:pt>
                <c:pt idx="18">
                  <c:v>2.1189808829999999</c:v>
                </c:pt>
                <c:pt idx="19">
                  <c:v>2.1187113599999998</c:v>
                </c:pt>
                <c:pt idx="20">
                  <c:v>2.140859651</c:v>
                </c:pt>
                <c:pt idx="21">
                  <c:v>2.1502195660000001</c:v>
                </c:pt>
                <c:pt idx="22">
                  <c:v>2.1426493670000002</c:v>
                </c:pt>
                <c:pt idx="23">
                  <c:v>2.170502752</c:v>
                </c:pt>
                <c:pt idx="24">
                  <c:v>2.1987423169999998</c:v>
                </c:pt>
                <c:pt idx="25">
                  <c:v>2.2275372259999999</c:v>
                </c:pt>
                <c:pt idx="26">
                  <c:v>2.258830836</c:v>
                </c:pt>
                <c:pt idx="27">
                  <c:v>2.2925839190000001</c:v>
                </c:pt>
                <c:pt idx="28">
                  <c:v>2.3263370010000002</c:v>
                </c:pt>
                <c:pt idx="29">
                  <c:v>2.3588655599999999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7D-4A5B-B0FE-555F21156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21152"/>
        <c:axId val="89123072"/>
      </c:scatterChart>
      <c:valAx>
        <c:axId val="8912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AOA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89123072"/>
        <c:crosses val="autoZero"/>
        <c:crossBetween val="midCat"/>
      </c:valAx>
      <c:valAx>
        <c:axId val="89123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891211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CD vs AOA 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Baseline</c:v>
          </c:tx>
          <c:xVal>
            <c:numRef>
              <c:f>'PICET 2025'!$B$5:$B$14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'PICET 2025'!$D$5:$D$14</c:f>
              <c:numCache>
                <c:formatCode>General</c:formatCode>
                <c:ptCount val="10"/>
                <c:pt idx="0">
                  <c:v>7.0000000000000001E-3</c:v>
                </c:pt>
                <c:pt idx="1">
                  <c:v>8.9999999999999993E-3</c:v>
                </c:pt>
                <c:pt idx="2">
                  <c:v>1.0999999999999999E-2</c:v>
                </c:pt>
                <c:pt idx="3">
                  <c:v>1.2200000000000001E-2</c:v>
                </c:pt>
                <c:pt idx="4">
                  <c:v>1.4999999999999999E-2</c:v>
                </c:pt>
                <c:pt idx="5">
                  <c:v>0.02</c:v>
                </c:pt>
                <c:pt idx="6">
                  <c:v>4.9000000000000002E-2</c:v>
                </c:pt>
                <c:pt idx="7">
                  <c:v>6.5000000000000002E-2</c:v>
                </c:pt>
                <c:pt idx="8">
                  <c:v>0.1</c:v>
                </c:pt>
                <c:pt idx="9">
                  <c:v>0.14499999999999999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C0-4E2C-8B5A-533DAFC9D93F}"/>
            </c:ext>
          </c:extLst>
        </c:ser>
        <c:ser>
          <c:idx val="1"/>
          <c:order val="1"/>
          <c:tx>
            <c:v>Injection at 50% C</c:v>
          </c:tx>
          <c:xVal>
            <c:numRef>
              <c:f>'PICET 2025'!$G$5:$G$17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</c:numCache>
            </c:numRef>
          </c:xVal>
          <c:yVal>
            <c:numRef>
              <c:f>'PICET 2025'!$I$5:$I$17</c:f>
              <c:numCache>
                <c:formatCode>General</c:formatCode>
                <c:ptCount val="13"/>
                <c:pt idx="0">
                  <c:v>0.16259999999999999</c:v>
                </c:pt>
                <c:pt idx="1">
                  <c:v>0.18279999999999999</c:v>
                </c:pt>
                <c:pt idx="2">
                  <c:v>0.21590000000000001</c:v>
                </c:pt>
                <c:pt idx="3">
                  <c:v>0.25690000000000002</c:v>
                </c:pt>
                <c:pt idx="4">
                  <c:v>0.29759999999999998</c:v>
                </c:pt>
                <c:pt idx="5">
                  <c:v>0.35720000000000002</c:v>
                </c:pt>
                <c:pt idx="6">
                  <c:v>0.50760000000000005</c:v>
                </c:pt>
                <c:pt idx="7">
                  <c:v>0.64339999999999997</c:v>
                </c:pt>
                <c:pt idx="8">
                  <c:v>0.79090000000000005</c:v>
                </c:pt>
                <c:pt idx="9">
                  <c:v>0.89329999999999998</c:v>
                </c:pt>
                <c:pt idx="10">
                  <c:v>1.0065999999999999</c:v>
                </c:pt>
                <c:pt idx="11">
                  <c:v>1.1189</c:v>
                </c:pt>
                <c:pt idx="12">
                  <c:v>1.2472000000000001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C0-4E2C-8B5A-533DAFC9D93F}"/>
            </c:ext>
          </c:extLst>
        </c:ser>
        <c:ser>
          <c:idx val="2"/>
          <c:order val="2"/>
          <c:tx>
            <c:v>Suction at 50% C</c:v>
          </c:tx>
          <c:xVal>
            <c:numRef>
              <c:f>'PICET 2025'!$L$5:$L$17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</c:numCache>
            </c:numRef>
          </c:xVal>
          <c:yVal>
            <c:numRef>
              <c:f>'PICET 2025'!$N$5:$N$17</c:f>
              <c:numCache>
                <c:formatCode>General</c:formatCode>
                <c:ptCount val="13"/>
                <c:pt idx="0">
                  <c:v>0.13821</c:v>
                </c:pt>
                <c:pt idx="1">
                  <c:v>0.15537999999999999</c:v>
                </c:pt>
                <c:pt idx="2">
                  <c:v>0.18351500000000001</c:v>
                </c:pt>
                <c:pt idx="3">
                  <c:v>0.21836500000000003</c:v>
                </c:pt>
                <c:pt idx="4">
                  <c:v>0.25295999999999996</c:v>
                </c:pt>
                <c:pt idx="5">
                  <c:v>0.30362</c:v>
                </c:pt>
                <c:pt idx="6">
                  <c:v>0.43146000000000007</c:v>
                </c:pt>
                <c:pt idx="7">
                  <c:v>0.54688999999999999</c:v>
                </c:pt>
                <c:pt idx="8">
                  <c:v>0.672265</c:v>
                </c:pt>
                <c:pt idx="9">
                  <c:v>0.75930500000000001</c:v>
                </c:pt>
                <c:pt idx="10">
                  <c:v>0.85560999999999998</c:v>
                </c:pt>
                <c:pt idx="11">
                  <c:v>0.95106500000000005</c:v>
                </c:pt>
                <c:pt idx="12">
                  <c:v>1.0601200000000002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C0-4E2C-8B5A-533DAFC9D93F}"/>
            </c:ext>
          </c:extLst>
        </c:ser>
        <c:ser>
          <c:idx val="3"/>
          <c:order val="3"/>
          <c:tx>
            <c:strRef>
              <c:f>'PICET 2025'!$E$64</c:f>
              <c:strCache>
                <c:ptCount val="1"/>
                <c:pt idx="0">
                  <c:v>Optimised CD -- suction -only</c:v>
                </c:pt>
              </c:strCache>
            </c:strRef>
          </c:tx>
          <c:xVal>
            <c:numRef>
              <c:f>'PICET 2025'!$D$67:$D$96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'PICET 2025'!$E$67:$E$96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6.5409397102743601E-3</c:v>
                </c:pt>
                <c:pt idx="18">
                  <c:v>2.4266374391778402E-2</c:v>
                </c:pt>
                <c:pt idx="19">
                  <c:v>4.3304665635986499E-2</c:v>
                </c:pt>
                <c:pt idx="20">
                  <c:v>6.45923563254691E-2</c:v>
                </c:pt>
                <c:pt idx="21">
                  <c:v>8.2347121101756904E-2</c:v>
                </c:pt>
                <c:pt idx="22">
                  <c:v>0.10188357393845</c:v>
                </c:pt>
                <c:pt idx="23">
                  <c:v>0.124724008223105</c:v>
                </c:pt>
                <c:pt idx="24">
                  <c:v>0.146896694733928</c:v>
                </c:pt>
                <c:pt idx="25">
                  <c:v>0.16867684548967499</c:v>
                </c:pt>
                <c:pt idx="26">
                  <c:v>0.192024697951381</c:v>
                </c:pt>
                <c:pt idx="27">
                  <c:v>0.214570193709647</c:v>
                </c:pt>
                <c:pt idx="28">
                  <c:v>0.24245740550026099</c:v>
                </c:pt>
                <c:pt idx="29">
                  <c:v>0.27024400757280698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C5-46C5-BE6B-5C680BE119DD}"/>
            </c:ext>
          </c:extLst>
        </c:ser>
        <c:ser>
          <c:idx val="4"/>
          <c:order val="4"/>
          <c:tx>
            <c:strRef>
              <c:f>'PICET 2025'!$L$101</c:f>
              <c:strCache>
                <c:ptCount val="1"/>
                <c:pt idx="0">
                  <c:v>Optmised CD -Injection only</c:v>
                </c:pt>
              </c:strCache>
            </c:strRef>
          </c:tx>
          <c:xVal>
            <c:numRef>
              <c:f>'PICET 2025'!$L$103:$L$132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'PICET 2025'!$M$103:$M$132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2.5662431999999999E-2</c:v>
                </c:pt>
                <c:pt idx="24">
                  <c:v>5.9334865000000001E-2</c:v>
                </c:pt>
                <c:pt idx="25">
                  <c:v>9.4108262999999998E-2</c:v>
                </c:pt>
                <c:pt idx="26">
                  <c:v>0.12826928600000001</c:v>
                </c:pt>
                <c:pt idx="27">
                  <c:v>0.16280894900000001</c:v>
                </c:pt>
                <c:pt idx="28">
                  <c:v>0.197298733</c:v>
                </c:pt>
                <c:pt idx="29">
                  <c:v>0.232345945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CA-43F9-B3C3-DF4A68DEE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7120"/>
        <c:axId val="90999040"/>
      </c:scatterChart>
      <c:valAx>
        <c:axId val="90997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AOA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90999040"/>
        <c:crosses val="autoZero"/>
        <c:crossBetween val="midCat"/>
      </c:valAx>
      <c:valAx>
        <c:axId val="90999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909971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CL vs AOA --Several simulations</a:t>
            </a:r>
            <a:endParaRPr lang="en-US" b="1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'PICET 2025'!$C$4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'PICET 2025'!$B$5:$B$14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'PICET 2025'!$C$5:$C$14</c:f>
              <c:numCache>
                <c:formatCode>General</c:formatCode>
                <c:ptCount val="10"/>
                <c:pt idx="0">
                  <c:v>0.15</c:v>
                </c:pt>
                <c:pt idx="1">
                  <c:v>0.35</c:v>
                </c:pt>
                <c:pt idx="2">
                  <c:v>0.57999999999999996</c:v>
                </c:pt>
                <c:pt idx="3">
                  <c:v>0.68</c:v>
                </c:pt>
                <c:pt idx="4">
                  <c:v>0.82</c:v>
                </c:pt>
                <c:pt idx="5">
                  <c:v>1</c:v>
                </c:pt>
                <c:pt idx="6">
                  <c:v>1.111</c:v>
                </c:pt>
                <c:pt idx="7">
                  <c:v>1.1879999999999999</c:v>
                </c:pt>
                <c:pt idx="8">
                  <c:v>1.18</c:v>
                </c:pt>
                <c:pt idx="9">
                  <c:v>1.1100000000000001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81-401B-8722-32361BFF81B1}"/>
            </c:ext>
          </c:extLst>
        </c:ser>
        <c:ser>
          <c:idx val="1"/>
          <c:order val="1"/>
          <c:tx>
            <c:strRef>
              <c:f>'PICET 2025'!$G$2:$J$2</c:f>
              <c:strCache>
                <c:ptCount val="1"/>
                <c:pt idx="0">
                  <c:v>Injection at 50% 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'PICET 2025'!$G$5:$G$17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</c:numCache>
            </c:numRef>
          </c:xVal>
          <c:yVal>
            <c:numRef>
              <c:f>'PICET 2025'!$H$5:$H$17</c:f>
              <c:numCache>
                <c:formatCode>General</c:formatCode>
                <c:ptCount val="13"/>
                <c:pt idx="0">
                  <c:v>0.35780000000000001</c:v>
                </c:pt>
                <c:pt idx="1">
                  <c:v>0.51119999999999999</c:v>
                </c:pt>
                <c:pt idx="2">
                  <c:v>0.74170000000000003</c:v>
                </c:pt>
                <c:pt idx="3">
                  <c:v>0.91910000000000003</c:v>
                </c:pt>
                <c:pt idx="4">
                  <c:v>1.0267999999999999</c:v>
                </c:pt>
                <c:pt idx="5">
                  <c:v>1.1634</c:v>
                </c:pt>
                <c:pt idx="6">
                  <c:v>1.3983000000000001</c:v>
                </c:pt>
                <c:pt idx="7">
                  <c:v>1.51</c:v>
                </c:pt>
                <c:pt idx="8">
                  <c:v>1.6422000000000001</c:v>
                </c:pt>
                <c:pt idx="9">
                  <c:v>1.7</c:v>
                </c:pt>
                <c:pt idx="10">
                  <c:v>1.7493000000000001</c:v>
                </c:pt>
                <c:pt idx="11">
                  <c:v>1.7793000000000001</c:v>
                </c:pt>
                <c:pt idx="12">
                  <c:v>1.6508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81-401B-8722-32361BFF81B1}"/>
            </c:ext>
          </c:extLst>
        </c:ser>
        <c:ser>
          <c:idx val="2"/>
          <c:order val="2"/>
          <c:tx>
            <c:strRef>
              <c:f>'PICET 2025'!$L$2:$O$2</c:f>
              <c:strCache>
                <c:ptCount val="1"/>
                <c:pt idx="0">
                  <c:v>Suction at 50% 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'PICET 2025'!$L$5:$L$17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</c:numCache>
            </c:numRef>
          </c:xVal>
          <c:yVal>
            <c:numRef>
              <c:f>'PICET 2025'!$M$5:$M$17</c:f>
              <c:numCache>
                <c:formatCode>General</c:formatCode>
                <c:ptCount val="13"/>
                <c:pt idx="0">
                  <c:v>0.6956</c:v>
                </c:pt>
                <c:pt idx="1">
                  <c:v>1.0224</c:v>
                </c:pt>
                <c:pt idx="2">
                  <c:v>1.4434</c:v>
                </c:pt>
                <c:pt idx="3">
                  <c:v>1.7982</c:v>
                </c:pt>
                <c:pt idx="4">
                  <c:v>2.0535999999999999</c:v>
                </c:pt>
                <c:pt idx="5">
                  <c:v>2.3268</c:v>
                </c:pt>
                <c:pt idx="6">
                  <c:v>2.6966000000000001</c:v>
                </c:pt>
                <c:pt idx="7">
                  <c:v>3.02</c:v>
                </c:pt>
                <c:pt idx="8">
                  <c:v>3.2844000000000002</c:v>
                </c:pt>
                <c:pt idx="9">
                  <c:v>3.4</c:v>
                </c:pt>
                <c:pt idx="10">
                  <c:v>3.4986000000000002</c:v>
                </c:pt>
                <c:pt idx="11">
                  <c:v>3.5586000000000002</c:v>
                </c:pt>
                <c:pt idx="12">
                  <c:v>3.3016000000000001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81-401B-8722-32361BFF81B1}"/>
            </c:ext>
          </c:extLst>
        </c:ser>
        <c:ser>
          <c:idx val="3"/>
          <c:order val="3"/>
          <c:tx>
            <c:strRef>
              <c:f>'PICET 2025'!$U$2</c:f>
              <c:strCache>
                <c:ptCount val="1"/>
                <c:pt idx="0">
                  <c:v>Optimised Suction # 1 -- No stabilisation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'PICET 2025'!$S$5:$S$32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xVal>
          <c:yVal>
            <c:numRef>
              <c:f>'PICET 2025'!$T$5:$T$32</c:f>
              <c:numCache>
                <c:formatCode>General</c:formatCode>
                <c:ptCount val="28"/>
                <c:pt idx="0">
                  <c:v>2.001703419</c:v>
                </c:pt>
                <c:pt idx="1">
                  <c:v>2.045373605</c:v>
                </c:pt>
                <c:pt idx="2">
                  <c:v>2.0890437899999998</c:v>
                </c:pt>
                <c:pt idx="3">
                  <c:v>2.1327139750000002</c:v>
                </c:pt>
                <c:pt idx="4">
                  <c:v>2.1770112780000002</c:v>
                </c:pt>
                <c:pt idx="5">
                  <c:v>2.2219966489999998</c:v>
                </c:pt>
                <c:pt idx="6">
                  <c:v>2.266982021</c:v>
                </c:pt>
                <c:pt idx="7">
                  <c:v>2.3119673920000001</c:v>
                </c:pt>
                <c:pt idx="8">
                  <c:v>2.3569527629999998</c:v>
                </c:pt>
                <c:pt idx="9">
                  <c:v>2.401938135</c:v>
                </c:pt>
                <c:pt idx="10">
                  <c:v>2.4323373880000001</c:v>
                </c:pt>
                <c:pt idx="11">
                  <c:v>2.4608614860000002</c:v>
                </c:pt>
                <c:pt idx="12">
                  <c:v>2.494622283</c:v>
                </c:pt>
                <c:pt idx="13">
                  <c:v>2.5461632349999999</c:v>
                </c:pt>
                <c:pt idx="14">
                  <c:v>2.6582514000000002</c:v>
                </c:pt>
                <c:pt idx="15">
                  <c:v>2.769972192</c:v>
                </c:pt>
                <c:pt idx="16">
                  <c:v>2.8812706540000002</c:v>
                </c:pt>
                <c:pt idx="17">
                  <c:v>2.9906747120000001</c:v>
                </c:pt>
                <c:pt idx="18">
                  <c:v>3.1044835119999998</c:v>
                </c:pt>
                <c:pt idx="19">
                  <c:v>3.210716788</c:v>
                </c:pt>
                <c:pt idx="20">
                  <c:v>3.3039491519999999</c:v>
                </c:pt>
                <c:pt idx="21">
                  <c:v>3.3754053970000002</c:v>
                </c:pt>
                <c:pt idx="22">
                  <c:v>3.4121860439999998</c:v>
                </c:pt>
                <c:pt idx="23">
                  <c:v>3.4370633320000001</c:v>
                </c:pt>
                <c:pt idx="24">
                  <c:v>3.4587884990000002</c:v>
                </c:pt>
                <c:pt idx="25">
                  <c:v>3.4535568620000001</c:v>
                </c:pt>
                <c:pt idx="26">
                  <c:v>3.4453679510000002</c:v>
                </c:pt>
                <c:pt idx="27">
                  <c:v>3.4371790400000002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81-401B-8722-32361BFF81B1}"/>
            </c:ext>
          </c:extLst>
        </c:ser>
        <c:ser>
          <c:idx val="4"/>
          <c:order val="4"/>
          <c:tx>
            <c:strRef>
              <c:f>'PICET 2025'!$AB$2</c:f>
              <c:strCache>
                <c:ptCount val="1"/>
                <c:pt idx="0">
                  <c:v>optimisation + stabilisation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'PICET 2025'!$AA$5:$AA$32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xVal>
          <c:yVal>
            <c:numRef>
              <c:f>'PICET 2025'!$AB$5:$AB$32</c:f>
              <c:numCache>
                <c:formatCode>General</c:formatCode>
                <c:ptCount val="28"/>
                <c:pt idx="0">
                  <c:v>1.09210219814793</c:v>
                </c:pt>
                <c:pt idx="1">
                  <c:v>1.16665179402258</c:v>
                </c:pt>
                <c:pt idx="2">
                  <c:v>1.23299899508085</c:v>
                </c:pt>
                <c:pt idx="3">
                  <c:v>1.2914982123160199</c:v>
                </c:pt>
                <c:pt idx="4">
                  <c:v>1.34907394615099</c:v>
                </c:pt>
                <c:pt idx="5">
                  <c:v>1.4113895751030401</c:v>
                </c:pt>
                <c:pt idx="6">
                  <c:v>1.54207696460594</c:v>
                </c:pt>
                <c:pt idx="7">
                  <c:v>1.6727643541088399</c:v>
                </c:pt>
                <c:pt idx="8">
                  <c:v>1.8034517436117401</c:v>
                </c:pt>
                <c:pt idx="9">
                  <c:v>1.93413913311464</c:v>
                </c:pt>
                <c:pt idx="10">
                  <c:v>2.06482652261754</c:v>
                </c:pt>
                <c:pt idx="11">
                  <c:v>2.1955139121204401</c:v>
                </c:pt>
                <c:pt idx="12">
                  <c:v>2.3262013016233398</c:v>
                </c:pt>
                <c:pt idx="13">
                  <c:v>2.45688869112624</c:v>
                </c:pt>
                <c:pt idx="14">
                  <c:v>2.5875760806291499</c:v>
                </c:pt>
                <c:pt idx="15">
                  <c:v>2.7180230085241299</c:v>
                </c:pt>
                <c:pt idx="16">
                  <c:v>2.8483331049334701</c:v>
                </c:pt>
                <c:pt idx="17">
                  <c:v>2.9703851010545201</c:v>
                </c:pt>
                <c:pt idx="18">
                  <c:v>3.0827194370778801</c:v>
                </c:pt>
                <c:pt idx="19">
                  <c:v>3.1814131008577</c:v>
                </c:pt>
                <c:pt idx="20">
                  <c:v>3.2692480353892299</c:v>
                </c:pt>
                <c:pt idx="21">
                  <c:v>3.34631146896748</c:v>
                </c:pt>
                <c:pt idx="22">
                  <c:v>3.3902586096430198</c:v>
                </c:pt>
                <c:pt idx="23">
                  <c:v>3.4222049832983901</c:v>
                </c:pt>
                <c:pt idx="24">
                  <c:v>3.4397285287494999</c:v>
                </c:pt>
                <c:pt idx="25">
                  <c:v>3.4548565566187399</c:v>
                </c:pt>
                <c:pt idx="26">
                  <c:v>3.4690494610669198</c:v>
                </c:pt>
                <c:pt idx="27">
                  <c:v>3.4832423655151001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19-49B0-8FBC-D5E84C509E1F}"/>
            </c:ext>
          </c:extLst>
        </c:ser>
        <c:ser>
          <c:idx val="5"/>
          <c:order val="5"/>
          <c:tx>
            <c:strRef>
              <c:f>'PICET 2025'!$AA$34</c:f>
              <c:strCache>
                <c:ptCount val="1"/>
                <c:pt idx="0">
                  <c:v>Calculated_suction loc w/o slot size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'PICET 2025'!$Y$36:$Y$63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xVal>
          <c:yVal>
            <c:numRef>
              <c:f>'PICET 2025'!$Z$36:$Z$63</c:f>
              <c:numCache>
                <c:formatCode>General</c:formatCode>
                <c:ptCount val="28"/>
                <c:pt idx="0">
                  <c:v>1.16369025971786</c:v>
                </c:pt>
                <c:pt idx="1">
                  <c:v>1.24913354186229</c:v>
                </c:pt>
                <c:pt idx="2">
                  <c:v>1.3442212751009299</c:v>
                </c:pt>
                <c:pt idx="3">
                  <c:v>1.43651239789754</c:v>
                </c:pt>
                <c:pt idx="4">
                  <c:v>1.5291609066156</c:v>
                </c:pt>
                <c:pt idx="5">
                  <c:v>1.63174028144106</c:v>
                </c:pt>
                <c:pt idx="6">
                  <c:v>1.73326314317009</c:v>
                </c:pt>
                <c:pt idx="7">
                  <c:v>1.8344830952098099</c:v>
                </c:pt>
                <c:pt idx="8">
                  <c:v>1.93633394708781</c:v>
                </c:pt>
                <c:pt idx="9">
                  <c:v>2.0452641518224799</c:v>
                </c:pt>
                <c:pt idx="10">
                  <c:v>2.1523191707020302</c:v>
                </c:pt>
                <c:pt idx="11">
                  <c:v>2.2580761461679302</c:v>
                </c:pt>
                <c:pt idx="12">
                  <c:v>2.3777388265627799</c:v>
                </c:pt>
                <c:pt idx="13">
                  <c:v>2.49639794926521</c:v>
                </c:pt>
                <c:pt idx="14">
                  <c:v>2.6158093888716598</c:v>
                </c:pt>
                <c:pt idx="15">
                  <c:v>2.71094462300836</c:v>
                </c:pt>
                <c:pt idx="16">
                  <c:v>2.8522603082045999</c:v>
                </c:pt>
                <c:pt idx="17">
                  <c:v>2.9719790976206601</c:v>
                </c:pt>
                <c:pt idx="18">
                  <c:v>3.0902094245203799</c:v>
                </c:pt>
                <c:pt idx="19">
                  <c:v>3.2060834969884802</c:v>
                </c:pt>
                <c:pt idx="20">
                  <c:v>3.2979787911071998</c:v>
                </c:pt>
                <c:pt idx="21">
                  <c:v>3.3601181784771201</c:v>
                </c:pt>
                <c:pt idx="22">
                  <c:v>3.4029657145452501</c:v>
                </c:pt>
                <c:pt idx="23">
                  <c:v>3.4253480456309799</c:v>
                </c:pt>
                <c:pt idx="24">
                  <c:v>3.44238874354058</c:v>
                </c:pt>
                <c:pt idx="25">
                  <c:v>3.4657011033449399</c:v>
                </c:pt>
                <c:pt idx="26">
                  <c:v>3.4827335625295399</c:v>
                </c:pt>
                <c:pt idx="27">
                  <c:v>3.49976602171414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DF-499C-B978-F313F33FC22C}"/>
            </c:ext>
          </c:extLst>
        </c:ser>
        <c:ser>
          <c:idx val="6"/>
          <c:order val="6"/>
          <c:tx>
            <c:strRef>
              <c:f>'PICET 2025'!$S$63</c:f>
              <c:strCache>
                <c:ptCount val="1"/>
                <c:pt idx="0">
                  <c:v>Calculated suction_loc &amp; slot size --changing Re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'PICET 2025'!$R$66:$R$93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xVal>
          <c:yVal>
            <c:numRef>
              <c:f>'PICET 2025'!$S$66:$S$93</c:f>
              <c:numCache>
                <c:formatCode>General</c:formatCode>
                <c:ptCount val="28"/>
                <c:pt idx="0">
                  <c:v>3.2774754939999999</c:v>
                </c:pt>
                <c:pt idx="1">
                  <c:v>3.3080350379999999</c:v>
                </c:pt>
                <c:pt idx="2">
                  <c:v>3.460394006</c:v>
                </c:pt>
                <c:pt idx="3">
                  <c:v>3.5462414920000001</c:v>
                </c:pt>
                <c:pt idx="4">
                  <c:v>3.6391248840000001</c:v>
                </c:pt>
                <c:pt idx="5">
                  <c:v>3.7244699219999999</c:v>
                </c:pt>
                <c:pt idx="6">
                  <c:v>3.809519318</c:v>
                </c:pt>
                <c:pt idx="7">
                  <c:v>3.9189403299999999</c:v>
                </c:pt>
                <c:pt idx="8">
                  <c:v>4.0198403880000004</c:v>
                </c:pt>
                <c:pt idx="9">
                  <c:v>4.1223687590000004</c:v>
                </c:pt>
                <c:pt idx="10">
                  <c:v>4.2240550250000002</c:v>
                </c:pt>
                <c:pt idx="11">
                  <c:v>4.3207434280000001</c:v>
                </c:pt>
                <c:pt idx="12">
                  <c:v>4.4271190110000003</c:v>
                </c:pt>
                <c:pt idx="13">
                  <c:v>4.5252373419999996</c:v>
                </c:pt>
                <c:pt idx="14">
                  <c:v>4.6228921290000002</c:v>
                </c:pt>
                <c:pt idx="15">
                  <c:v>4.7185767790000002</c:v>
                </c:pt>
                <c:pt idx="16">
                  <c:v>4.8116319609999998</c:v>
                </c:pt>
                <c:pt idx="17">
                  <c:v>4.9018347120000003</c:v>
                </c:pt>
                <c:pt idx="18">
                  <c:v>4.9889518080000004</c:v>
                </c:pt>
                <c:pt idx="19">
                  <c:v>5.0816982260000003</c:v>
                </c:pt>
                <c:pt idx="20">
                  <c:v>5.1680213640000003</c:v>
                </c:pt>
                <c:pt idx="21">
                  <c:v>5.2518516149999996</c:v>
                </c:pt>
                <c:pt idx="22">
                  <c:v>5.3572010209999998</c:v>
                </c:pt>
                <c:pt idx="23">
                  <c:v>5.4633603620000004</c:v>
                </c:pt>
                <c:pt idx="24">
                  <c:v>5.56861023</c:v>
                </c:pt>
                <c:pt idx="25">
                  <c:v>5.6652389830000001</c:v>
                </c:pt>
                <c:pt idx="26">
                  <c:v>5.759967252</c:v>
                </c:pt>
                <c:pt idx="27">
                  <c:v>5.8510851129999999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2-4ED5-9494-EC76C35CD6F0}"/>
            </c:ext>
          </c:extLst>
        </c:ser>
        <c:ser>
          <c:idx val="7"/>
          <c:order val="7"/>
          <c:tx>
            <c:strRef>
              <c:f>'PICET 2025'!$AA$66</c:f>
              <c:strCache>
                <c:ptCount val="1"/>
                <c:pt idx="0">
                  <c:v>optimised CL - suction only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'PICET 2025'!$Z$68:$Z$96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'PICET 2025'!$AA$68:$AA$96</c:f>
              <c:numCache>
                <c:formatCode>General</c:formatCode>
                <c:ptCount val="29"/>
                <c:pt idx="0">
                  <c:v>1.956539</c:v>
                </c:pt>
                <c:pt idx="1">
                  <c:v>1.9997560000000001</c:v>
                </c:pt>
                <c:pt idx="2">
                  <c:v>2.0416530000000002</c:v>
                </c:pt>
                <c:pt idx="3">
                  <c:v>2.0826910000000001</c:v>
                </c:pt>
                <c:pt idx="4">
                  <c:v>2.1237469999999998</c:v>
                </c:pt>
                <c:pt idx="5">
                  <c:v>2.1648040000000002</c:v>
                </c:pt>
                <c:pt idx="6">
                  <c:v>2.2055509999999998</c:v>
                </c:pt>
                <c:pt idx="7">
                  <c:v>2.2462029999999999</c:v>
                </c:pt>
                <c:pt idx="8">
                  <c:v>2.287979</c:v>
                </c:pt>
                <c:pt idx="9">
                  <c:v>2.3294990000000002</c:v>
                </c:pt>
                <c:pt idx="10">
                  <c:v>2.368026</c:v>
                </c:pt>
                <c:pt idx="11">
                  <c:v>2.4012069999999999</c:v>
                </c:pt>
                <c:pt idx="12">
                  <c:v>2.4616910000000001</c:v>
                </c:pt>
                <c:pt idx="13">
                  <c:v>2.548419</c:v>
                </c:pt>
                <c:pt idx="14">
                  <c:v>2.6457739999999998</c:v>
                </c:pt>
                <c:pt idx="15">
                  <c:v>2.7490869999999998</c:v>
                </c:pt>
                <c:pt idx="16">
                  <c:v>2.8636949999999999</c:v>
                </c:pt>
                <c:pt idx="17">
                  <c:v>2.9775800000000001</c:v>
                </c:pt>
                <c:pt idx="18">
                  <c:v>3.0924580000000002</c:v>
                </c:pt>
                <c:pt idx="19">
                  <c:v>3.2029179999999999</c:v>
                </c:pt>
                <c:pt idx="20">
                  <c:v>3.2959429999999998</c:v>
                </c:pt>
                <c:pt idx="21">
                  <c:v>3.3703669999999999</c:v>
                </c:pt>
                <c:pt idx="22">
                  <c:v>3.4109029999999998</c:v>
                </c:pt>
                <c:pt idx="23">
                  <c:v>3.442507</c:v>
                </c:pt>
                <c:pt idx="24">
                  <c:v>3.4648119999999998</c:v>
                </c:pt>
                <c:pt idx="25">
                  <c:v>3.4834900000000002</c:v>
                </c:pt>
                <c:pt idx="26">
                  <c:v>3.5001600000000002</c:v>
                </c:pt>
                <c:pt idx="27">
                  <c:v>3.5188790000000001</c:v>
                </c:pt>
                <c:pt idx="28">
                  <c:v>3.550224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B5-4592-AD90-8B224D96A6F3}"/>
            </c:ext>
          </c:extLst>
        </c:ser>
        <c:ser>
          <c:idx val="8"/>
          <c:order val="8"/>
          <c:tx>
            <c:strRef>
              <c:f>'PICET 2025'!$E$101</c:f>
              <c:strCache>
                <c:ptCount val="1"/>
                <c:pt idx="0">
                  <c:v>Optimised CL - Injection only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'PICET 2025'!$D$103:$D$132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'PICET 2025'!$E$103:$E$132</c:f>
              <c:numCache>
                <c:formatCode>General</c:formatCode>
                <c:ptCount val="30"/>
                <c:pt idx="0">
                  <c:v>1.277936841</c:v>
                </c:pt>
                <c:pt idx="1">
                  <c:v>1.317499733</c:v>
                </c:pt>
                <c:pt idx="2">
                  <c:v>1.409072538</c:v>
                </c:pt>
                <c:pt idx="3">
                  <c:v>1.4640328410000001</c:v>
                </c:pt>
                <c:pt idx="4">
                  <c:v>1.5143714420000001</c:v>
                </c:pt>
                <c:pt idx="5">
                  <c:v>1.561760464</c:v>
                </c:pt>
                <c:pt idx="6">
                  <c:v>1.6169347439999999</c:v>
                </c:pt>
                <c:pt idx="7">
                  <c:v>1.6706881280000001</c:v>
                </c:pt>
                <c:pt idx="8">
                  <c:v>1.7202209980000001</c:v>
                </c:pt>
                <c:pt idx="9">
                  <c:v>1.7656812129999999</c:v>
                </c:pt>
                <c:pt idx="10">
                  <c:v>1.811461786</c:v>
                </c:pt>
                <c:pt idx="11">
                  <c:v>1.8555456020000001</c:v>
                </c:pt>
                <c:pt idx="12">
                  <c:v>1.8954107490000001</c:v>
                </c:pt>
                <c:pt idx="13">
                  <c:v>1.9326332749999999</c:v>
                </c:pt>
                <c:pt idx="14">
                  <c:v>1.9650374340000001</c:v>
                </c:pt>
                <c:pt idx="15">
                  <c:v>1.9801850249999999</c:v>
                </c:pt>
                <c:pt idx="16">
                  <c:v>2.0257274390000002</c:v>
                </c:pt>
                <c:pt idx="17">
                  <c:v>2.064739442</c:v>
                </c:pt>
                <c:pt idx="18">
                  <c:v>2.1189808829999999</c:v>
                </c:pt>
                <c:pt idx="19">
                  <c:v>2.1187113599999998</c:v>
                </c:pt>
                <c:pt idx="20">
                  <c:v>2.140859651</c:v>
                </c:pt>
                <c:pt idx="21">
                  <c:v>2.1502195660000001</c:v>
                </c:pt>
                <c:pt idx="22">
                  <c:v>2.1426493670000002</c:v>
                </c:pt>
                <c:pt idx="23">
                  <c:v>2.170502752</c:v>
                </c:pt>
                <c:pt idx="24">
                  <c:v>2.1987423169999998</c:v>
                </c:pt>
                <c:pt idx="25">
                  <c:v>2.2275372259999999</c:v>
                </c:pt>
                <c:pt idx="26">
                  <c:v>2.258830836</c:v>
                </c:pt>
                <c:pt idx="27">
                  <c:v>2.2925839190000001</c:v>
                </c:pt>
                <c:pt idx="28">
                  <c:v>2.3263370010000002</c:v>
                </c:pt>
                <c:pt idx="29">
                  <c:v>2.3588655599999999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C-4A73-BB1B-C335E643E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819712"/>
        <c:axId val="627820672"/>
      </c:scatterChart>
      <c:valAx>
        <c:axId val="62781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20672"/>
        <c:crosses val="autoZero"/>
        <c:crossBetween val="midCat"/>
      </c:valAx>
      <c:valAx>
        <c:axId val="62782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CL</a:t>
                </a:r>
              </a:p>
              <a:p>
                <a:pPr>
                  <a:defRPr/>
                </a:pP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1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CL vs AOA --Several simulations</a:t>
            </a:r>
            <a:endParaRPr lang="en-US" b="1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'PICET 2025'!$C$4</c:f>
              <c:strCache>
                <c:ptCount val="1"/>
                <c:pt idx="0">
                  <c:v>CL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'PICET 2025'!$B$5:$B$14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'PICET 2025'!$C$5:$C$14</c:f>
              <c:numCache>
                <c:formatCode>General</c:formatCode>
                <c:ptCount val="10"/>
                <c:pt idx="0">
                  <c:v>0.15</c:v>
                </c:pt>
                <c:pt idx="1">
                  <c:v>0.35</c:v>
                </c:pt>
                <c:pt idx="2">
                  <c:v>0.57999999999999996</c:v>
                </c:pt>
                <c:pt idx="3">
                  <c:v>0.68</c:v>
                </c:pt>
                <c:pt idx="4">
                  <c:v>0.82</c:v>
                </c:pt>
                <c:pt idx="5">
                  <c:v>1</c:v>
                </c:pt>
                <c:pt idx="6">
                  <c:v>1.111</c:v>
                </c:pt>
                <c:pt idx="7">
                  <c:v>1.1879999999999999</c:v>
                </c:pt>
                <c:pt idx="8">
                  <c:v>1.18</c:v>
                </c:pt>
                <c:pt idx="9">
                  <c:v>1.1100000000000001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7E-45B8-BD87-C65E143568CA}"/>
            </c:ext>
          </c:extLst>
        </c:ser>
        <c:ser>
          <c:idx val="1"/>
          <c:order val="1"/>
          <c:tx>
            <c:strRef>
              <c:f>'PICET 2025'!$G$2:$J$2</c:f>
              <c:strCache>
                <c:ptCount val="1"/>
                <c:pt idx="0">
                  <c:v>Injection at 50% 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'PICET 2025'!$G$5:$G$17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</c:numCache>
            </c:numRef>
          </c:xVal>
          <c:yVal>
            <c:numRef>
              <c:f>'PICET 2025'!$H$5:$H$17</c:f>
              <c:numCache>
                <c:formatCode>General</c:formatCode>
                <c:ptCount val="13"/>
                <c:pt idx="0">
                  <c:v>0.35780000000000001</c:v>
                </c:pt>
                <c:pt idx="1">
                  <c:v>0.51119999999999999</c:v>
                </c:pt>
                <c:pt idx="2">
                  <c:v>0.74170000000000003</c:v>
                </c:pt>
                <c:pt idx="3">
                  <c:v>0.91910000000000003</c:v>
                </c:pt>
                <c:pt idx="4">
                  <c:v>1.0267999999999999</c:v>
                </c:pt>
                <c:pt idx="5">
                  <c:v>1.1634</c:v>
                </c:pt>
                <c:pt idx="6">
                  <c:v>1.3983000000000001</c:v>
                </c:pt>
                <c:pt idx="7">
                  <c:v>1.51</c:v>
                </c:pt>
                <c:pt idx="8">
                  <c:v>1.6422000000000001</c:v>
                </c:pt>
                <c:pt idx="9">
                  <c:v>1.7</c:v>
                </c:pt>
                <c:pt idx="10">
                  <c:v>1.7493000000000001</c:v>
                </c:pt>
                <c:pt idx="11">
                  <c:v>1.7793000000000001</c:v>
                </c:pt>
                <c:pt idx="12">
                  <c:v>1.6508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7E-45B8-BD87-C65E143568CA}"/>
            </c:ext>
          </c:extLst>
        </c:ser>
        <c:ser>
          <c:idx val="2"/>
          <c:order val="2"/>
          <c:tx>
            <c:strRef>
              <c:f>'PICET 2025'!$L$2:$O$2</c:f>
              <c:strCache>
                <c:ptCount val="1"/>
                <c:pt idx="0">
                  <c:v>Suction at 50% 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'PICET 2025'!$L$5:$L$17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</c:numCache>
            </c:numRef>
          </c:xVal>
          <c:yVal>
            <c:numRef>
              <c:f>'PICET 2025'!$M$5:$M$17</c:f>
              <c:numCache>
                <c:formatCode>General</c:formatCode>
                <c:ptCount val="13"/>
                <c:pt idx="0">
                  <c:v>0.6956</c:v>
                </c:pt>
                <c:pt idx="1">
                  <c:v>1.0224</c:v>
                </c:pt>
                <c:pt idx="2">
                  <c:v>1.4434</c:v>
                </c:pt>
                <c:pt idx="3">
                  <c:v>1.7982</c:v>
                </c:pt>
                <c:pt idx="4">
                  <c:v>2.0535999999999999</c:v>
                </c:pt>
                <c:pt idx="5">
                  <c:v>2.3268</c:v>
                </c:pt>
                <c:pt idx="6">
                  <c:v>2.6966000000000001</c:v>
                </c:pt>
                <c:pt idx="7">
                  <c:v>3.02</c:v>
                </c:pt>
                <c:pt idx="8">
                  <c:v>3.2844000000000002</c:v>
                </c:pt>
                <c:pt idx="9">
                  <c:v>3.4</c:v>
                </c:pt>
                <c:pt idx="10">
                  <c:v>3.4986000000000002</c:v>
                </c:pt>
                <c:pt idx="11">
                  <c:v>3.5586000000000002</c:v>
                </c:pt>
                <c:pt idx="12">
                  <c:v>3.3016000000000001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7E-45B8-BD87-C65E143568CA}"/>
            </c:ext>
          </c:extLst>
        </c:ser>
        <c:ser>
          <c:idx val="3"/>
          <c:order val="3"/>
          <c:tx>
            <c:strRef>
              <c:f>'PICET 2025'!$U$2</c:f>
              <c:strCache>
                <c:ptCount val="1"/>
                <c:pt idx="0">
                  <c:v>Optimised Suction # 1 -- No stabilisation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'PICET 2025'!$S$5:$S$32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xVal>
          <c:yVal>
            <c:numRef>
              <c:f>'PICET 2025'!$T$5:$T$32</c:f>
              <c:numCache>
                <c:formatCode>General</c:formatCode>
                <c:ptCount val="28"/>
                <c:pt idx="0">
                  <c:v>2.001703419</c:v>
                </c:pt>
                <c:pt idx="1">
                  <c:v>2.045373605</c:v>
                </c:pt>
                <c:pt idx="2">
                  <c:v>2.0890437899999998</c:v>
                </c:pt>
                <c:pt idx="3">
                  <c:v>2.1327139750000002</c:v>
                </c:pt>
                <c:pt idx="4">
                  <c:v>2.1770112780000002</c:v>
                </c:pt>
                <c:pt idx="5">
                  <c:v>2.2219966489999998</c:v>
                </c:pt>
                <c:pt idx="6">
                  <c:v>2.266982021</c:v>
                </c:pt>
                <c:pt idx="7">
                  <c:v>2.3119673920000001</c:v>
                </c:pt>
                <c:pt idx="8">
                  <c:v>2.3569527629999998</c:v>
                </c:pt>
                <c:pt idx="9">
                  <c:v>2.401938135</c:v>
                </c:pt>
                <c:pt idx="10">
                  <c:v>2.4323373880000001</c:v>
                </c:pt>
                <c:pt idx="11">
                  <c:v>2.4608614860000002</c:v>
                </c:pt>
                <c:pt idx="12">
                  <c:v>2.494622283</c:v>
                </c:pt>
                <c:pt idx="13">
                  <c:v>2.5461632349999999</c:v>
                </c:pt>
                <c:pt idx="14">
                  <c:v>2.6582514000000002</c:v>
                </c:pt>
                <c:pt idx="15">
                  <c:v>2.769972192</c:v>
                </c:pt>
                <c:pt idx="16">
                  <c:v>2.8812706540000002</c:v>
                </c:pt>
                <c:pt idx="17">
                  <c:v>2.9906747120000001</c:v>
                </c:pt>
                <c:pt idx="18">
                  <c:v>3.1044835119999998</c:v>
                </c:pt>
                <c:pt idx="19">
                  <c:v>3.210716788</c:v>
                </c:pt>
                <c:pt idx="20">
                  <c:v>3.3039491519999999</c:v>
                </c:pt>
                <c:pt idx="21">
                  <c:v>3.3754053970000002</c:v>
                </c:pt>
                <c:pt idx="22">
                  <c:v>3.4121860439999998</c:v>
                </c:pt>
                <c:pt idx="23">
                  <c:v>3.4370633320000001</c:v>
                </c:pt>
                <c:pt idx="24">
                  <c:v>3.4587884990000002</c:v>
                </c:pt>
                <c:pt idx="25">
                  <c:v>3.4535568620000001</c:v>
                </c:pt>
                <c:pt idx="26">
                  <c:v>3.4453679510000002</c:v>
                </c:pt>
                <c:pt idx="27">
                  <c:v>3.4371790400000002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7E-45B8-BD87-C65E143568CA}"/>
            </c:ext>
          </c:extLst>
        </c:ser>
        <c:ser>
          <c:idx val="4"/>
          <c:order val="4"/>
          <c:tx>
            <c:strRef>
              <c:f>'PICET 2025'!$AB$2</c:f>
              <c:strCache>
                <c:ptCount val="1"/>
                <c:pt idx="0">
                  <c:v>optimisation + stabilisation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'PICET 2025'!$AA$5:$AA$32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xVal>
          <c:yVal>
            <c:numRef>
              <c:f>'PICET 2025'!$AB$5:$AB$32</c:f>
              <c:numCache>
                <c:formatCode>General</c:formatCode>
                <c:ptCount val="28"/>
                <c:pt idx="0">
                  <c:v>1.09210219814793</c:v>
                </c:pt>
                <c:pt idx="1">
                  <c:v>1.16665179402258</c:v>
                </c:pt>
                <c:pt idx="2">
                  <c:v>1.23299899508085</c:v>
                </c:pt>
                <c:pt idx="3">
                  <c:v>1.2914982123160199</c:v>
                </c:pt>
                <c:pt idx="4">
                  <c:v>1.34907394615099</c:v>
                </c:pt>
                <c:pt idx="5">
                  <c:v>1.4113895751030401</c:v>
                </c:pt>
                <c:pt idx="6">
                  <c:v>1.54207696460594</c:v>
                </c:pt>
                <c:pt idx="7">
                  <c:v>1.6727643541088399</c:v>
                </c:pt>
                <c:pt idx="8">
                  <c:v>1.8034517436117401</c:v>
                </c:pt>
                <c:pt idx="9">
                  <c:v>1.93413913311464</c:v>
                </c:pt>
                <c:pt idx="10">
                  <c:v>2.06482652261754</c:v>
                </c:pt>
                <c:pt idx="11">
                  <c:v>2.1955139121204401</c:v>
                </c:pt>
                <c:pt idx="12">
                  <c:v>2.3262013016233398</c:v>
                </c:pt>
                <c:pt idx="13">
                  <c:v>2.45688869112624</c:v>
                </c:pt>
                <c:pt idx="14">
                  <c:v>2.5875760806291499</c:v>
                </c:pt>
                <c:pt idx="15">
                  <c:v>2.7180230085241299</c:v>
                </c:pt>
                <c:pt idx="16">
                  <c:v>2.8483331049334701</c:v>
                </c:pt>
                <c:pt idx="17">
                  <c:v>2.9703851010545201</c:v>
                </c:pt>
                <c:pt idx="18">
                  <c:v>3.0827194370778801</c:v>
                </c:pt>
                <c:pt idx="19">
                  <c:v>3.1814131008577</c:v>
                </c:pt>
                <c:pt idx="20">
                  <c:v>3.2692480353892299</c:v>
                </c:pt>
                <c:pt idx="21">
                  <c:v>3.34631146896748</c:v>
                </c:pt>
                <c:pt idx="22">
                  <c:v>3.3902586096430198</c:v>
                </c:pt>
                <c:pt idx="23">
                  <c:v>3.4222049832983901</c:v>
                </c:pt>
                <c:pt idx="24">
                  <c:v>3.4397285287494999</c:v>
                </c:pt>
                <c:pt idx="25">
                  <c:v>3.4548565566187399</c:v>
                </c:pt>
                <c:pt idx="26">
                  <c:v>3.4690494610669198</c:v>
                </c:pt>
                <c:pt idx="27">
                  <c:v>3.4832423655151001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7E-45B8-BD87-C65E143568CA}"/>
            </c:ext>
          </c:extLst>
        </c:ser>
        <c:ser>
          <c:idx val="5"/>
          <c:order val="5"/>
          <c:tx>
            <c:strRef>
              <c:f>'PICET 2025'!$AA$34</c:f>
              <c:strCache>
                <c:ptCount val="1"/>
                <c:pt idx="0">
                  <c:v>Calculated_suction loc w/o slot size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'PICET 2025'!$Y$36:$Y$63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xVal>
          <c:yVal>
            <c:numRef>
              <c:f>'PICET 2025'!$Z$36:$Z$63</c:f>
              <c:numCache>
                <c:formatCode>General</c:formatCode>
                <c:ptCount val="28"/>
                <c:pt idx="0">
                  <c:v>1.16369025971786</c:v>
                </c:pt>
                <c:pt idx="1">
                  <c:v>1.24913354186229</c:v>
                </c:pt>
                <c:pt idx="2">
                  <c:v>1.3442212751009299</c:v>
                </c:pt>
                <c:pt idx="3">
                  <c:v>1.43651239789754</c:v>
                </c:pt>
                <c:pt idx="4">
                  <c:v>1.5291609066156</c:v>
                </c:pt>
                <c:pt idx="5">
                  <c:v>1.63174028144106</c:v>
                </c:pt>
                <c:pt idx="6">
                  <c:v>1.73326314317009</c:v>
                </c:pt>
                <c:pt idx="7">
                  <c:v>1.8344830952098099</c:v>
                </c:pt>
                <c:pt idx="8">
                  <c:v>1.93633394708781</c:v>
                </c:pt>
                <c:pt idx="9">
                  <c:v>2.0452641518224799</c:v>
                </c:pt>
                <c:pt idx="10">
                  <c:v>2.1523191707020302</c:v>
                </c:pt>
                <c:pt idx="11">
                  <c:v>2.2580761461679302</c:v>
                </c:pt>
                <c:pt idx="12">
                  <c:v>2.3777388265627799</c:v>
                </c:pt>
                <c:pt idx="13">
                  <c:v>2.49639794926521</c:v>
                </c:pt>
                <c:pt idx="14">
                  <c:v>2.6158093888716598</c:v>
                </c:pt>
                <c:pt idx="15">
                  <c:v>2.71094462300836</c:v>
                </c:pt>
                <c:pt idx="16">
                  <c:v>2.8522603082045999</c:v>
                </c:pt>
                <c:pt idx="17">
                  <c:v>2.9719790976206601</c:v>
                </c:pt>
                <c:pt idx="18">
                  <c:v>3.0902094245203799</c:v>
                </c:pt>
                <c:pt idx="19">
                  <c:v>3.2060834969884802</c:v>
                </c:pt>
                <c:pt idx="20">
                  <c:v>3.2979787911071998</c:v>
                </c:pt>
                <c:pt idx="21">
                  <c:v>3.3601181784771201</c:v>
                </c:pt>
                <c:pt idx="22">
                  <c:v>3.4029657145452501</c:v>
                </c:pt>
                <c:pt idx="23">
                  <c:v>3.4253480456309799</c:v>
                </c:pt>
                <c:pt idx="24">
                  <c:v>3.44238874354058</c:v>
                </c:pt>
                <c:pt idx="25">
                  <c:v>3.4657011033449399</c:v>
                </c:pt>
                <c:pt idx="26">
                  <c:v>3.4827335625295399</c:v>
                </c:pt>
                <c:pt idx="27">
                  <c:v>3.49976602171414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7E-45B8-BD87-C65E143568CA}"/>
            </c:ext>
          </c:extLst>
        </c:ser>
        <c:ser>
          <c:idx val="6"/>
          <c:order val="6"/>
          <c:tx>
            <c:strRef>
              <c:f>'PICET 2025'!$S$63</c:f>
              <c:strCache>
                <c:ptCount val="1"/>
                <c:pt idx="0">
                  <c:v>Calculated suction_loc &amp; slot size --changing Re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'PICET 2025'!$R$66:$R$93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xVal>
          <c:yVal>
            <c:numRef>
              <c:f>'PICET 2025'!$S$66:$S$93</c:f>
              <c:numCache>
                <c:formatCode>General</c:formatCode>
                <c:ptCount val="28"/>
                <c:pt idx="0">
                  <c:v>3.2774754939999999</c:v>
                </c:pt>
                <c:pt idx="1">
                  <c:v>3.3080350379999999</c:v>
                </c:pt>
                <c:pt idx="2">
                  <c:v>3.460394006</c:v>
                </c:pt>
                <c:pt idx="3">
                  <c:v>3.5462414920000001</c:v>
                </c:pt>
                <c:pt idx="4">
                  <c:v>3.6391248840000001</c:v>
                </c:pt>
                <c:pt idx="5">
                  <c:v>3.7244699219999999</c:v>
                </c:pt>
                <c:pt idx="6">
                  <c:v>3.809519318</c:v>
                </c:pt>
                <c:pt idx="7">
                  <c:v>3.9189403299999999</c:v>
                </c:pt>
                <c:pt idx="8">
                  <c:v>4.0198403880000004</c:v>
                </c:pt>
                <c:pt idx="9">
                  <c:v>4.1223687590000004</c:v>
                </c:pt>
                <c:pt idx="10">
                  <c:v>4.2240550250000002</c:v>
                </c:pt>
                <c:pt idx="11">
                  <c:v>4.3207434280000001</c:v>
                </c:pt>
                <c:pt idx="12">
                  <c:v>4.4271190110000003</c:v>
                </c:pt>
                <c:pt idx="13">
                  <c:v>4.5252373419999996</c:v>
                </c:pt>
                <c:pt idx="14">
                  <c:v>4.6228921290000002</c:v>
                </c:pt>
                <c:pt idx="15">
                  <c:v>4.7185767790000002</c:v>
                </c:pt>
                <c:pt idx="16">
                  <c:v>4.8116319609999998</c:v>
                </c:pt>
                <c:pt idx="17">
                  <c:v>4.9018347120000003</c:v>
                </c:pt>
                <c:pt idx="18">
                  <c:v>4.9889518080000004</c:v>
                </c:pt>
                <c:pt idx="19">
                  <c:v>5.0816982260000003</c:v>
                </c:pt>
                <c:pt idx="20">
                  <c:v>5.1680213640000003</c:v>
                </c:pt>
                <c:pt idx="21">
                  <c:v>5.2518516149999996</c:v>
                </c:pt>
                <c:pt idx="22">
                  <c:v>5.3572010209999998</c:v>
                </c:pt>
                <c:pt idx="23">
                  <c:v>5.4633603620000004</c:v>
                </c:pt>
                <c:pt idx="24">
                  <c:v>5.56861023</c:v>
                </c:pt>
                <c:pt idx="25">
                  <c:v>5.6652389830000001</c:v>
                </c:pt>
                <c:pt idx="26">
                  <c:v>5.759967252</c:v>
                </c:pt>
                <c:pt idx="27">
                  <c:v>5.8510851129999999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7E-45B8-BD87-C65E143568CA}"/>
            </c:ext>
          </c:extLst>
        </c:ser>
        <c:ser>
          <c:idx val="7"/>
          <c:order val="7"/>
          <c:tx>
            <c:strRef>
              <c:f>'PICET 2025'!$AA$66</c:f>
              <c:strCache>
                <c:ptCount val="1"/>
                <c:pt idx="0">
                  <c:v>optimised CL - suction only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'PICET 2025'!$Z$68:$Z$96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'PICET 2025'!$AA$68:$AA$96</c:f>
              <c:numCache>
                <c:formatCode>General</c:formatCode>
                <c:ptCount val="29"/>
                <c:pt idx="0">
                  <c:v>1.956539</c:v>
                </c:pt>
                <c:pt idx="1">
                  <c:v>1.9997560000000001</c:v>
                </c:pt>
                <c:pt idx="2">
                  <c:v>2.0416530000000002</c:v>
                </c:pt>
                <c:pt idx="3">
                  <c:v>2.0826910000000001</c:v>
                </c:pt>
                <c:pt idx="4">
                  <c:v>2.1237469999999998</c:v>
                </c:pt>
                <c:pt idx="5">
                  <c:v>2.1648040000000002</c:v>
                </c:pt>
                <c:pt idx="6">
                  <c:v>2.2055509999999998</c:v>
                </c:pt>
                <c:pt idx="7">
                  <c:v>2.2462029999999999</c:v>
                </c:pt>
                <c:pt idx="8">
                  <c:v>2.287979</c:v>
                </c:pt>
                <c:pt idx="9">
                  <c:v>2.3294990000000002</c:v>
                </c:pt>
                <c:pt idx="10">
                  <c:v>2.368026</c:v>
                </c:pt>
                <c:pt idx="11">
                  <c:v>2.4012069999999999</c:v>
                </c:pt>
                <c:pt idx="12">
                  <c:v>2.4616910000000001</c:v>
                </c:pt>
                <c:pt idx="13">
                  <c:v>2.548419</c:v>
                </c:pt>
                <c:pt idx="14">
                  <c:v>2.6457739999999998</c:v>
                </c:pt>
                <c:pt idx="15">
                  <c:v>2.7490869999999998</c:v>
                </c:pt>
                <c:pt idx="16">
                  <c:v>2.8636949999999999</c:v>
                </c:pt>
                <c:pt idx="17">
                  <c:v>2.9775800000000001</c:v>
                </c:pt>
                <c:pt idx="18">
                  <c:v>3.0924580000000002</c:v>
                </c:pt>
                <c:pt idx="19">
                  <c:v>3.2029179999999999</c:v>
                </c:pt>
                <c:pt idx="20">
                  <c:v>3.2959429999999998</c:v>
                </c:pt>
                <c:pt idx="21">
                  <c:v>3.3703669999999999</c:v>
                </c:pt>
                <c:pt idx="22">
                  <c:v>3.4109029999999998</c:v>
                </c:pt>
                <c:pt idx="23">
                  <c:v>3.442507</c:v>
                </c:pt>
                <c:pt idx="24">
                  <c:v>3.4648119999999998</c:v>
                </c:pt>
                <c:pt idx="25">
                  <c:v>3.4834900000000002</c:v>
                </c:pt>
                <c:pt idx="26">
                  <c:v>3.5001600000000002</c:v>
                </c:pt>
                <c:pt idx="27">
                  <c:v>3.5188790000000001</c:v>
                </c:pt>
                <c:pt idx="28">
                  <c:v>3.550224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7E-45B8-BD87-C65E14356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819712"/>
        <c:axId val="627820672"/>
      </c:scatterChart>
      <c:valAx>
        <c:axId val="62781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20672"/>
        <c:crosses val="autoZero"/>
        <c:crossBetween val="midCat"/>
      </c:valAx>
      <c:valAx>
        <c:axId val="62782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CL</a:t>
                </a:r>
              </a:p>
              <a:p>
                <a:pPr>
                  <a:defRPr/>
                </a:pP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1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204354</xdr:colOff>
      <xdr:row>18</xdr:row>
      <xdr:rowOff>52386</xdr:rowOff>
    </xdr:from>
    <xdr:to>
      <xdr:col>10</xdr:col>
      <xdr:colOff>251980</xdr:colOff>
      <xdr:row>34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485774</xdr:colOff>
      <xdr:row>34</xdr:row>
      <xdr:rowOff>138112</xdr:rowOff>
    </xdr:from>
    <xdr:to>
      <xdr:col>10</xdr:col>
      <xdr:colOff>95250</xdr:colOff>
      <xdr:row>51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571501</xdr:colOff>
      <xdr:row>32</xdr:row>
      <xdr:rowOff>100772</xdr:rowOff>
    </xdr:from>
    <xdr:to>
      <xdr:col>22</xdr:col>
      <xdr:colOff>299357</xdr:colOff>
      <xdr:row>58</xdr:row>
      <xdr:rowOff>54429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F4F07D-7884-8493-28E9-EC8817675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3</xdr:row>
      <xdr:rowOff>76200</xdr:rowOff>
    </xdr:from>
    <xdr:to>
      <xdr:col>16</xdr:col>
      <xdr:colOff>301088</xdr:colOff>
      <xdr:row>29</xdr:row>
      <xdr:rowOff>81811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E3821-F81F-44FE-9DCC-D7E48916A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32"/>
  <sheetViews>
    <sheetView tabSelected="1" topLeftCell="B2" zoomScale="85" zoomScaleNormal="85" workbookViewId="0">
      <selection activeCell="AA67" sqref="AA67"/>
    </sheetView>
  </sheetViews>
  <sheetFormatPr defaultRowHeight="15" x14ac:dyDescent="0.25"/>
  <cols>
    <col min="6" max="7" width="25.28515625" customWidth="1"/>
    <col min="10" max="10" width="18.7109375" customWidth="1"/>
    <col min="14" max="14" width="14.85546875" customWidth="1"/>
    <col min="15" max="15" width="13.5703125" customWidth="1"/>
    <col min="16" max="16" width="13.28515625" customWidth="1"/>
    <col min="17" max="17" width="14.85546875" customWidth="1"/>
    <col min="20" max="20" width="23.140625" customWidth="1"/>
    <col min="21" max="21" width="22.42578125" customWidth="1"/>
    <col min="22" max="22" width="19.28515625" customWidth="1"/>
    <col min="23" max="23" width="22.5703125" customWidth="1"/>
    <col min="24" max="24" width="18.85546875" customWidth="1"/>
    <col min="27" max="28" width="12.5703125" customWidth="1"/>
    <col min="29" max="29" width="12.7109375" customWidth="1"/>
  </cols>
  <sheetData>
    <row r="1" spans="2:32" ht="15.75" thickBot="1" x14ac:dyDescent="0.3"/>
    <row r="2" spans="2:32" ht="19.5" customHeight="1" thickBot="1" x14ac:dyDescent="0.35">
      <c r="B2" s="19" t="s">
        <v>6</v>
      </c>
      <c r="C2" s="20"/>
      <c r="D2" s="20"/>
      <c r="E2" s="21"/>
      <c r="G2" s="19" t="s">
        <v>5</v>
      </c>
      <c r="H2" s="20"/>
      <c r="I2" s="20"/>
      <c r="J2" s="21"/>
      <c r="L2" s="19" t="s">
        <v>4</v>
      </c>
      <c r="M2" s="20"/>
      <c r="N2" s="20"/>
      <c r="O2" s="21"/>
      <c r="R2" s="10"/>
      <c r="S2" s="10"/>
      <c r="T2" s="10"/>
      <c r="U2" s="9" t="s">
        <v>16</v>
      </c>
      <c r="V2" s="11"/>
      <c r="AB2" s="9" t="s">
        <v>14</v>
      </c>
      <c r="AC2" s="14"/>
      <c r="AD2" s="11"/>
    </row>
    <row r="4" spans="2:32" ht="15.75" x14ac:dyDescent="0.25">
      <c r="B4" s="6" t="s">
        <v>0</v>
      </c>
      <c r="C4" s="6" t="s">
        <v>1</v>
      </c>
      <c r="D4" s="6" t="s">
        <v>2</v>
      </c>
      <c r="E4" s="6" t="s">
        <v>3</v>
      </c>
      <c r="G4" s="2" t="s">
        <v>0</v>
      </c>
      <c r="H4" s="2" t="s">
        <v>1</v>
      </c>
      <c r="I4" s="2" t="s">
        <v>2</v>
      </c>
      <c r="J4" s="2" t="s">
        <v>3</v>
      </c>
      <c r="L4" s="2" t="s">
        <v>0</v>
      </c>
      <c r="M4" s="2" t="s">
        <v>1</v>
      </c>
      <c r="N4" s="2" t="s">
        <v>2</v>
      </c>
      <c r="O4" s="2" t="s">
        <v>3</v>
      </c>
      <c r="S4" s="12" t="s">
        <v>7</v>
      </c>
      <c r="T4" s="12" t="s">
        <v>8</v>
      </c>
      <c r="U4" s="12" t="s">
        <v>9</v>
      </c>
      <c r="V4" s="12" t="s">
        <v>10</v>
      </c>
      <c r="W4" s="12" t="s">
        <v>11</v>
      </c>
      <c r="X4" s="12" t="s">
        <v>12</v>
      </c>
      <c r="AA4" t="s">
        <v>7</v>
      </c>
      <c r="AB4" t="s">
        <v>8</v>
      </c>
      <c r="AC4" t="s">
        <v>9</v>
      </c>
      <c r="AD4" t="s">
        <v>10</v>
      </c>
      <c r="AE4" t="s">
        <v>11</v>
      </c>
      <c r="AF4" t="s">
        <v>12</v>
      </c>
    </row>
    <row r="5" spans="2:32" x14ac:dyDescent="0.25">
      <c r="B5" s="3">
        <v>0</v>
      </c>
      <c r="C5" s="3">
        <v>0.15</v>
      </c>
      <c r="D5" s="1">
        <v>7.0000000000000001E-3</v>
      </c>
      <c r="E5" s="1">
        <f>C5/D5</f>
        <v>21.428571428571427</v>
      </c>
      <c r="G5" s="3">
        <v>0</v>
      </c>
      <c r="H5" s="3">
        <v>0.35780000000000001</v>
      </c>
      <c r="I5" s="3">
        <v>0.16259999999999999</v>
      </c>
      <c r="J5" s="3">
        <f>H5/I5</f>
        <v>2.2004920049200494</v>
      </c>
      <c r="L5" s="3">
        <v>0</v>
      </c>
      <c r="M5" s="3">
        <v>0.6956</v>
      </c>
      <c r="N5" s="3">
        <v>0.13821</v>
      </c>
      <c r="O5" s="3">
        <f>M5/N5</f>
        <v>5.0329209174444687</v>
      </c>
      <c r="S5" s="12">
        <v>0</v>
      </c>
      <c r="T5" s="12">
        <v>2.001703419</v>
      </c>
      <c r="U5" s="12">
        <v>50</v>
      </c>
      <c r="V5" s="12">
        <v>2</v>
      </c>
      <c r="W5" s="12">
        <v>1000000</v>
      </c>
      <c r="X5" s="12">
        <v>600</v>
      </c>
      <c r="AA5">
        <v>0</v>
      </c>
      <c r="AB5">
        <v>1.09210219814793</v>
      </c>
      <c r="AC5">
        <v>50</v>
      </c>
      <c r="AD5">
        <v>2</v>
      </c>
      <c r="AE5">
        <v>1000000</v>
      </c>
      <c r="AF5">
        <v>460</v>
      </c>
    </row>
    <row r="6" spans="2:32" x14ac:dyDescent="0.25">
      <c r="B6" s="3">
        <v>2</v>
      </c>
      <c r="C6" s="3">
        <v>0.35</v>
      </c>
      <c r="D6" s="1">
        <v>8.9999999999999993E-3</v>
      </c>
      <c r="E6" s="1">
        <f t="shared" ref="E6:E14" si="0">C6/D6</f>
        <v>38.888888888888893</v>
      </c>
      <c r="G6" s="3">
        <v>2</v>
      </c>
      <c r="H6" s="3">
        <v>0.51119999999999999</v>
      </c>
      <c r="I6" s="3">
        <v>0.18279999999999999</v>
      </c>
      <c r="J6" s="3">
        <f t="shared" ref="J6:J17" si="1">H6/I6</f>
        <v>2.7964989059080962</v>
      </c>
      <c r="L6" s="3">
        <v>2</v>
      </c>
      <c r="M6" s="3">
        <v>1.0224</v>
      </c>
      <c r="N6" s="3">
        <v>0.15537999999999999</v>
      </c>
      <c r="O6" s="3">
        <f t="shared" ref="O6:O17" si="2">M6/N6</f>
        <v>6.5799974256661091</v>
      </c>
      <c r="S6" s="12">
        <v>1</v>
      </c>
      <c r="T6" s="12">
        <v>2.045373605</v>
      </c>
      <c r="U6" s="12">
        <v>50</v>
      </c>
      <c r="V6" s="12">
        <v>2</v>
      </c>
      <c r="W6" s="12">
        <v>1000000</v>
      </c>
      <c r="X6" s="12">
        <v>600</v>
      </c>
      <c r="AA6">
        <v>1</v>
      </c>
      <c r="AB6">
        <v>1.16665179402258</v>
      </c>
      <c r="AC6">
        <v>50</v>
      </c>
      <c r="AD6">
        <v>2</v>
      </c>
      <c r="AE6">
        <v>1000000</v>
      </c>
      <c r="AF6">
        <v>460</v>
      </c>
    </row>
    <row r="7" spans="2:32" x14ac:dyDescent="0.25">
      <c r="B7" s="3">
        <v>4</v>
      </c>
      <c r="C7" s="3">
        <v>0.57999999999999996</v>
      </c>
      <c r="D7" s="1">
        <v>1.0999999999999999E-2</v>
      </c>
      <c r="E7" s="1">
        <f t="shared" si="0"/>
        <v>52.727272727272727</v>
      </c>
      <c r="G7" s="3">
        <v>5</v>
      </c>
      <c r="H7" s="3">
        <v>0.74170000000000003</v>
      </c>
      <c r="I7" s="3">
        <v>0.21590000000000001</v>
      </c>
      <c r="J7" s="3">
        <f t="shared" si="1"/>
        <v>3.4353867531264473</v>
      </c>
      <c r="L7" s="3">
        <v>5</v>
      </c>
      <c r="M7" s="3">
        <v>1.4434</v>
      </c>
      <c r="N7" s="3">
        <v>0.18351500000000001</v>
      </c>
      <c r="O7" s="3">
        <f t="shared" si="2"/>
        <v>7.8652971146772739</v>
      </c>
      <c r="S7" s="12">
        <v>2</v>
      </c>
      <c r="T7" s="12">
        <v>2.0890437899999998</v>
      </c>
      <c r="U7" s="12">
        <v>50</v>
      </c>
      <c r="V7" s="12">
        <v>2</v>
      </c>
      <c r="W7" s="12">
        <v>1000000</v>
      </c>
      <c r="X7" s="12">
        <v>600</v>
      </c>
      <c r="AA7">
        <v>2</v>
      </c>
      <c r="AB7">
        <v>1.23299899508085</v>
      </c>
      <c r="AC7">
        <v>50</v>
      </c>
      <c r="AD7">
        <v>2</v>
      </c>
      <c r="AE7">
        <v>1000000</v>
      </c>
      <c r="AF7">
        <v>460</v>
      </c>
    </row>
    <row r="8" spans="2:32" x14ac:dyDescent="0.25">
      <c r="B8" s="3">
        <v>6</v>
      </c>
      <c r="C8" s="3">
        <v>0.68</v>
      </c>
      <c r="D8" s="1">
        <v>1.2200000000000001E-2</v>
      </c>
      <c r="E8" s="1">
        <f t="shared" si="0"/>
        <v>55.73770491803279</v>
      </c>
      <c r="G8" s="3">
        <v>8</v>
      </c>
      <c r="H8" s="3">
        <v>0.91910000000000003</v>
      </c>
      <c r="I8" s="3">
        <v>0.25690000000000002</v>
      </c>
      <c r="J8" s="3">
        <f t="shared" si="1"/>
        <v>3.5776566757493184</v>
      </c>
      <c r="L8" s="3">
        <v>8</v>
      </c>
      <c r="M8" s="3">
        <v>1.7982</v>
      </c>
      <c r="N8" s="3">
        <v>0.21836500000000003</v>
      </c>
      <c r="O8" s="3">
        <f t="shared" si="2"/>
        <v>8.2348361687999443</v>
      </c>
      <c r="S8" s="12">
        <v>3</v>
      </c>
      <c r="T8" s="12">
        <v>2.1327139750000002</v>
      </c>
      <c r="U8" s="12">
        <v>50</v>
      </c>
      <c r="V8" s="12">
        <v>2</v>
      </c>
      <c r="W8" s="12">
        <v>1000000</v>
      </c>
      <c r="X8" s="12">
        <v>600</v>
      </c>
      <c r="AA8">
        <v>3</v>
      </c>
      <c r="AB8">
        <v>1.2914982123160199</v>
      </c>
      <c r="AC8">
        <v>50</v>
      </c>
      <c r="AD8">
        <v>2</v>
      </c>
      <c r="AE8">
        <v>1000000</v>
      </c>
      <c r="AF8">
        <v>460</v>
      </c>
    </row>
    <row r="9" spans="2:32" x14ac:dyDescent="0.25">
      <c r="B9" s="3">
        <v>8</v>
      </c>
      <c r="C9" s="3">
        <v>0.82</v>
      </c>
      <c r="D9" s="1">
        <v>1.4999999999999999E-2</v>
      </c>
      <c r="E9" s="1">
        <f t="shared" si="0"/>
        <v>54.666666666666664</v>
      </c>
      <c r="G9" s="3">
        <v>10</v>
      </c>
      <c r="H9" s="3">
        <v>1.0267999999999999</v>
      </c>
      <c r="I9" s="3">
        <v>0.29759999999999998</v>
      </c>
      <c r="J9" s="3">
        <f t="shared" si="1"/>
        <v>3.450268817204301</v>
      </c>
      <c r="L9" s="3">
        <v>10</v>
      </c>
      <c r="M9" s="3">
        <v>2.0535999999999999</v>
      </c>
      <c r="N9" s="3">
        <v>0.25295999999999996</v>
      </c>
      <c r="O9" s="3">
        <f t="shared" si="2"/>
        <v>8.1182795698924739</v>
      </c>
      <c r="S9" s="12">
        <v>4</v>
      </c>
      <c r="T9" s="12">
        <v>2.1770112780000002</v>
      </c>
      <c r="U9" s="12">
        <v>50</v>
      </c>
      <c r="V9" s="12">
        <v>2</v>
      </c>
      <c r="W9" s="12">
        <v>1000000</v>
      </c>
      <c r="X9" s="12">
        <v>600</v>
      </c>
      <c r="AA9">
        <v>4</v>
      </c>
      <c r="AB9">
        <v>1.34907394615099</v>
      </c>
      <c r="AC9">
        <v>50</v>
      </c>
      <c r="AD9">
        <v>2</v>
      </c>
      <c r="AE9">
        <v>1000000</v>
      </c>
      <c r="AF9">
        <v>460</v>
      </c>
    </row>
    <row r="10" spans="2:32" x14ac:dyDescent="0.25">
      <c r="B10" s="3">
        <v>10</v>
      </c>
      <c r="C10" s="3">
        <v>1</v>
      </c>
      <c r="D10" s="1">
        <v>0.02</v>
      </c>
      <c r="E10" s="1">
        <f t="shared" si="0"/>
        <v>50</v>
      </c>
      <c r="G10" s="3">
        <v>12</v>
      </c>
      <c r="H10" s="3">
        <v>1.1634</v>
      </c>
      <c r="I10" s="3">
        <v>0.35720000000000002</v>
      </c>
      <c r="J10" s="3">
        <f t="shared" si="1"/>
        <v>3.2569988801791712</v>
      </c>
      <c r="L10" s="3">
        <v>12</v>
      </c>
      <c r="M10" s="3">
        <v>2.3268</v>
      </c>
      <c r="N10" s="3">
        <v>0.30362</v>
      </c>
      <c r="O10" s="3">
        <f t="shared" si="2"/>
        <v>7.6635267768921675</v>
      </c>
      <c r="S10" s="12">
        <v>5</v>
      </c>
      <c r="T10" s="12">
        <v>2.2219966489999998</v>
      </c>
      <c r="U10" s="12">
        <v>50</v>
      </c>
      <c r="V10" s="12">
        <v>2</v>
      </c>
      <c r="W10" s="12">
        <v>1000000</v>
      </c>
      <c r="X10" s="12">
        <v>600</v>
      </c>
      <c r="AA10">
        <v>5</v>
      </c>
      <c r="AB10">
        <v>1.4113895751030401</v>
      </c>
      <c r="AC10">
        <v>50</v>
      </c>
      <c r="AD10">
        <v>2</v>
      </c>
      <c r="AE10">
        <v>2000000</v>
      </c>
      <c r="AF10">
        <v>600</v>
      </c>
    </row>
    <row r="11" spans="2:32" x14ac:dyDescent="0.25">
      <c r="B11" s="4">
        <v>13</v>
      </c>
      <c r="C11" s="4">
        <v>1.111</v>
      </c>
      <c r="D11" s="4">
        <v>4.9000000000000002E-2</v>
      </c>
      <c r="E11" s="4">
        <f t="shared" si="0"/>
        <v>22.673469387755102</v>
      </c>
      <c r="G11" s="3">
        <v>15</v>
      </c>
      <c r="H11" s="3">
        <v>1.3983000000000001</v>
      </c>
      <c r="I11" s="3">
        <v>0.50760000000000005</v>
      </c>
      <c r="J11" s="3">
        <f t="shared" si="1"/>
        <v>2.7547281323877066</v>
      </c>
      <c r="L11" s="3">
        <v>15</v>
      </c>
      <c r="M11" s="3">
        <v>2.6966000000000001</v>
      </c>
      <c r="N11" s="3">
        <v>0.43146000000000007</v>
      </c>
      <c r="O11" s="3">
        <f t="shared" si="2"/>
        <v>6.2499420572011299</v>
      </c>
      <c r="S11" s="12">
        <v>6</v>
      </c>
      <c r="T11" s="12">
        <v>2.266982021</v>
      </c>
      <c r="U11" s="12">
        <v>50</v>
      </c>
      <c r="V11" s="12">
        <v>2</v>
      </c>
      <c r="W11" s="12">
        <v>1000000</v>
      </c>
      <c r="X11" s="12">
        <v>600</v>
      </c>
      <c r="AA11">
        <v>6</v>
      </c>
      <c r="AB11">
        <v>1.54207696460594</v>
      </c>
      <c r="AC11">
        <v>50</v>
      </c>
      <c r="AD11">
        <v>2</v>
      </c>
      <c r="AE11">
        <v>2000000</v>
      </c>
      <c r="AF11">
        <v>600</v>
      </c>
    </row>
    <row r="12" spans="2:32" x14ac:dyDescent="0.25">
      <c r="B12" s="3">
        <v>15</v>
      </c>
      <c r="C12" s="3">
        <v>1.1879999999999999</v>
      </c>
      <c r="D12" s="1">
        <v>6.5000000000000002E-2</v>
      </c>
      <c r="E12" s="1">
        <f t="shared" si="0"/>
        <v>18.276923076923076</v>
      </c>
      <c r="G12" s="3">
        <v>18</v>
      </c>
      <c r="H12" s="3">
        <v>1.51</v>
      </c>
      <c r="I12" s="3">
        <v>0.64339999999999997</v>
      </c>
      <c r="J12" s="3">
        <f t="shared" si="1"/>
        <v>2.3469070562635999</v>
      </c>
      <c r="L12" s="3">
        <v>18</v>
      </c>
      <c r="M12" s="3">
        <v>3.02</v>
      </c>
      <c r="N12" s="3">
        <v>0.54688999999999999</v>
      </c>
      <c r="O12" s="3">
        <f t="shared" si="2"/>
        <v>5.522134250031999</v>
      </c>
      <c r="S12" s="12">
        <v>7</v>
      </c>
      <c r="T12" s="12">
        <v>2.3119673920000001</v>
      </c>
      <c r="U12" s="12">
        <v>50</v>
      </c>
      <c r="V12" s="12">
        <v>2</v>
      </c>
      <c r="W12" s="12">
        <v>1000000</v>
      </c>
      <c r="X12" s="12">
        <v>600</v>
      </c>
      <c r="AA12">
        <v>7</v>
      </c>
      <c r="AB12">
        <v>1.6727643541088399</v>
      </c>
      <c r="AC12">
        <v>50</v>
      </c>
      <c r="AD12">
        <v>2</v>
      </c>
      <c r="AE12">
        <v>2000000</v>
      </c>
      <c r="AF12">
        <v>600</v>
      </c>
    </row>
    <row r="13" spans="2:32" x14ac:dyDescent="0.25">
      <c r="B13" s="3">
        <v>18</v>
      </c>
      <c r="C13" s="3">
        <v>1.18</v>
      </c>
      <c r="D13" s="1">
        <v>0.1</v>
      </c>
      <c r="E13" s="1">
        <f t="shared" si="0"/>
        <v>11.799999999999999</v>
      </c>
      <c r="G13" s="3">
        <v>20</v>
      </c>
      <c r="H13" s="3">
        <v>1.6422000000000001</v>
      </c>
      <c r="I13" s="3">
        <v>0.79090000000000005</v>
      </c>
      <c r="J13" s="3">
        <f t="shared" si="1"/>
        <v>2.0763686938930332</v>
      </c>
      <c r="L13" s="3">
        <v>20</v>
      </c>
      <c r="M13" s="3">
        <v>3.2844000000000002</v>
      </c>
      <c r="N13" s="3">
        <v>0.672265</v>
      </c>
      <c r="O13" s="3">
        <f t="shared" si="2"/>
        <v>4.8855733973953726</v>
      </c>
      <c r="S13" s="12">
        <v>8</v>
      </c>
      <c r="T13" s="12">
        <v>2.3569527629999998</v>
      </c>
      <c r="U13" s="12">
        <v>50</v>
      </c>
      <c r="V13" s="12">
        <v>2</v>
      </c>
      <c r="W13" s="12">
        <v>1000000</v>
      </c>
      <c r="X13" s="12">
        <v>600</v>
      </c>
      <c r="AA13">
        <v>8</v>
      </c>
      <c r="AB13">
        <v>1.8034517436117401</v>
      </c>
      <c r="AC13">
        <v>50</v>
      </c>
      <c r="AD13">
        <v>2</v>
      </c>
      <c r="AE13">
        <v>2000000</v>
      </c>
      <c r="AF13">
        <v>600</v>
      </c>
    </row>
    <row r="14" spans="2:32" x14ac:dyDescent="0.25">
      <c r="B14" s="3">
        <v>20</v>
      </c>
      <c r="C14" s="3">
        <v>1.1100000000000001</v>
      </c>
      <c r="D14" s="1">
        <v>0.14499999999999999</v>
      </c>
      <c r="E14" s="1">
        <f t="shared" si="0"/>
        <v>7.655172413793105</v>
      </c>
      <c r="G14" s="3">
        <v>22</v>
      </c>
      <c r="H14" s="3">
        <v>1.7</v>
      </c>
      <c r="I14" s="3">
        <v>0.89329999999999998</v>
      </c>
      <c r="J14" s="3">
        <f t="shared" si="1"/>
        <v>1.9030560841822457</v>
      </c>
      <c r="L14" s="3">
        <v>22</v>
      </c>
      <c r="M14" s="3">
        <v>3.4</v>
      </c>
      <c r="N14" s="3">
        <v>0.75930500000000001</v>
      </c>
      <c r="O14" s="3">
        <f t="shared" si="2"/>
        <v>4.4777790216052837</v>
      </c>
      <c r="S14" s="12">
        <v>9</v>
      </c>
      <c r="T14" s="12">
        <v>2.401938135</v>
      </c>
      <c r="U14" s="12">
        <v>50</v>
      </c>
      <c r="V14" s="12">
        <v>2</v>
      </c>
      <c r="W14" s="12">
        <v>1000000</v>
      </c>
      <c r="X14" s="12">
        <v>600</v>
      </c>
      <c r="AA14">
        <v>9</v>
      </c>
      <c r="AB14">
        <v>1.93413913311464</v>
      </c>
      <c r="AC14">
        <v>50</v>
      </c>
      <c r="AD14">
        <v>2</v>
      </c>
      <c r="AE14">
        <v>2000000</v>
      </c>
      <c r="AF14">
        <v>600</v>
      </c>
    </row>
    <row r="15" spans="2:32" x14ac:dyDescent="0.25">
      <c r="G15" s="3">
        <v>24</v>
      </c>
      <c r="H15" s="3">
        <v>1.7493000000000001</v>
      </c>
      <c r="I15" s="3">
        <v>1.0065999999999999</v>
      </c>
      <c r="J15" s="3">
        <f t="shared" si="1"/>
        <v>1.7378303198887346</v>
      </c>
      <c r="L15" s="3">
        <v>24</v>
      </c>
      <c r="M15" s="3">
        <v>3.4986000000000002</v>
      </c>
      <c r="N15" s="3">
        <v>0.85560999999999998</v>
      </c>
      <c r="O15" s="3">
        <f t="shared" si="2"/>
        <v>4.0890125173852576</v>
      </c>
      <c r="S15" s="12">
        <v>10</v>
      </c>
      <c r="T15" s="12">
        <v>2.4323373880000001</v>
      </c>
      <c r="U15" s="12">
        <v>50</v>
      </c>
      <c r="V15" s="12">
        <v>2</v>
      </c>
      <c r="W15" s="12">
        <v>1000000</v>
      </c>
      <c r="X15" s="12">
        <v>600</v>
      </c>
      <c r="AA15">
        <v>10</v>
      </c>
      <c r="AB15">
        <v>2.06482652261754</v>
      </c>
      <c r="AC15">
        <v>50</v>
      </c>
      <c r="AD15">
        <v>2</v>
      </c>
      <c r="AE15">
        <v>2000000</v>
      </c>
      <c r="AF15">
        <v>600</v>
      </c>
    </row>
    <row r="16" spans="2:32" x14ac:dyDescent="0.25">
      <c r="G16" s="4">
        <v>26</v>
      </c>
      <c r="H16" s="4">
        <v>1.7793000000000001</v>
      </c>
      <c r="I16" s="4">
        <v>1.1189</v>
      </c>
      <c r="J16" s="4">
        <f t="shared" si="1"/>
        <v>1.5902225399946377</v>
      </c>
      <c r="L16" s="4">
        <v>26</v>
      </c>
      <c r="M16" s="4">
        <v>3.5586000000000002</v>
      </c>
      <c r="N16" s="4">
        <v>0.95106500000000005</v>
      </c>
      <c r="O16" s="4">
        <f t="shared" si="2"/>
        <v>3.7417000941050298</v>
      </c>
      <c r="Q16" s="7"/>
      <c r="R16" s="8"/>
      <c r="S16" s="12">
        <v>11</v>
      </c>
      <c r="T16" s="12">
        <v>2.4608614860000002</v>
      </c>
      <c r="U16" s="12">
        <v>50</v>
      </c>
      <c r="V16" s="12">
        <v>2</v>
      </c>
      <c r="W16" s="12">
        <v>1000000</v>
      </c>
      <c r="X16" s="12">
        <v>600</v>
      </c>
      <c r="AA16">
        <v>11</v>
      </c>
      <c r="AB16">
        <v>2.1955139121204401</v>
      </c>
      <c r="AC16">
        <v>50</v>
      </c>
      <c r="AD16">
        <v>2</v>
      </c>
      <c r="AE16">
        <v>2000000</v>
      </c>
      <c r="AF16">
        <v>600</v>
      </c>
    </row>
    <row r="17" spans="7:32" x14ac:dyDescent="0.25">
      <c r="G17" s="5">
        <v>28</v>
      </c>
      <c r="H17" s="5">
        <v>1.6508</v>
      </c>
      <c r="I17" s="3">
        <v>1.2472000000000001</v>
      </c>
      <c r="J17" s="3">
        <f t="shared" si="1"/>
        <v>1.3236048749198204</v>
      </c>
      <c r="L17" s="5">
        <v>28</v>
      </c>
      <c r="M17" s="3">
        <v>3.3016000000000001</v>
      </c>
      <c r="N17" s="3">
        <v>1.0601200000000002</v>
      </c>
      <c r="O17" s="5">
        <f t="shared" si="2"/>
        <v>3.1143644115760476</v>
      </c>
      <c r="Q17" s="7"/>
      <c r="R17" s="8"/>
      <c r="S17" s="12">
        <v>12</v>
      </c>
      <c r="T17" s="12">
        <v>2.494622283</v>
      </c>
      <c r="U17" s="12">
        <v>50</v>
      </c>
      <c r="V17" s="12">
        <v>2</v>
      </c>
      <c r="W17" s="12">
        <v>1000000</v>
      </c>
      <c r="X17" s="12">
        <v>600</v>
      </c>
      <c r="AA17">
        <v>12</v>
      </c>
      <c r="AB17">
        <v>2.3262013016233398</v>
      </c>
      <c r="AC17">
        <v>50</v>
      </c>
      <c r="AD17">
        <v>2</v>
      </c>
      <c r="AE17">
        <v>2000000</v>
      </c>
      <c r="AF17">
        <v>600</v>
      </c>
    </row>
    <row r="18" spans="7:32" x14ac:dyDescent="0.25">
      <c r="S18" s="12">
        <v>13</v>
      </c>
      <c r="T18" s="12">
        <v>2.5461632349999999</v>
      </c>
      <c r="U18" s="12">
        <v>50</v>
      </c>
      <c r="V18" s="12">
        <v>2</v>
      </c>
      <c r="W18" s="12">
        <v>1674106</v>
      </c>
      <c r="X18" s="12">
        <v>600</v>
      </c>
      <c r="AA18">
        <v>13</v>
      </c>
      <c r="AB18">
        <v>2.45688869112624</v>
      </c>
      <c r="AC18">
        <v>50</v>
      </c>
      <c r="AD18">
        <v>2</v>
      </c>
      <c r="AE18">
        <v>2000000</v>
      </c>
      <c r="AF18">
        <v>600</v>
      </c>
    </row>
    <row r="19" spans="7:32" x14ac:dyDescent="0.25">
      <c r="S19" s="12">
        <v>14</v>
      </c>
      <c r="T19" s="12">
        <v>2.6582514000000002</v>
      </c>
      <c r="U19" s="12">
        <v>50</v>
      </c>
      <c r="V19" s="12">
        <v>2</v>
      </c>
      <c r="W19" s="12">
        <v>1697864</v>
      </c>
      <c r="X19" s="12">
        <v>600</v>
      </c>
      <c r="AA19">
        <v>14</v>
      </c>
      <c r="AB19">
        <v>2.5875760806291499</v>
      </c>
      <c r="AC19">
        <v>50</v>
      </c>
      <c r="AD19">
        <v>2</v>
      </c>
      <c r="AE19">
        <v>2000000</v>
      </c>
      <c r="AF19">
        <v>600</v>
      </c>
    </row>
    <row r="20" spans="7:32" x14ac:dyDescent="0.25">
      <c r="S20" s="12">
        <v>15</v>
      </c>
      <c r="T20" s="12">
        <v>2.769972192</v>
      </c>
      <c r="U20" s="12">
        <v>50</v>
      </c>
      <c r="V20" s="12">
        <v>2</v>
      </c>
      <c r="W20" s="12">
        <v>1737737</v>
      </c>
      <c r="X20" s="12">
        <v>600</v>
      </c>
      <c r="AA20">
        <v>15</v>
      </c>
      <c r="AB20">
        <v>2.7180230085241299</v>
      </c>
      <c r="AC20">
        <v>50</v>
      </c>
      <c r="AD20">
        <v>2</v>
      </c>
      <c r="AE20">
        <v>2000000</v>
      </c>
      <c r="AF20">
        <v>600</v>
      </c>
    </row>
    <row r="21" spans="7:32" x14ac:dyDescent="0.25">
      <c r="S21" s="12">
        <v>16</v>
      </c>
      <c r="T21" s="12">
        <v>2.8812706540000002</v>
      </c>
      <c r="U21" s="12">
        <v>50</v>
      </c>
      <c r="V21" s="12">
        <v>2</v>
      </c>
      <c r="W21" s="12">
        <v>1780843</v>
      </c>
      <c r="X21" s="12">
        <v>600</v>
      </c>
      <c r="AA21">
        <v>16</v>
      </c>
      <c r="AB21">
        <v>2.8483331049334701</v>
      </c>
      <c r="AC21">
        <v>50</v>
      </c>
      <c r="AD21">
        <v>2</v>
      </c>
      <c r="AE21">
        <v>2000000</v>
      </c>
      <c r="AF21">
        <v>600</v>
      </c>
    </row>
    <row r="22" spans="7:32" x14ac:dyDescent="0.25">
      <c r="S22" s="12">
        <v>17</v>
      </c>
      <c r="T22" s="12">
        <v>2.9906747120000001</v>
      </c>
      <c r="U22" s="12">
        <v>50</v>
      </c>
      <c r="V22" s="12">
        <v>2</v>
      </c>
      <c r="W22" s="12">
        <v>1812961</v>
      </c>
      <c r="X22" s="12">
        <v>600</v>
      </c>
      <c r="AA22">
        <v>17</v>
      </c>
      <c r="AB22">
        <v>2.9703851010545201</v>
      </c>
      <c r="AC22">
        <v>50</v>
      </c>
      <c r="AD22">
        <v>2</v>
      </c>
      <c r="AE22">
        <v>2000000</v>
      </c>
      <c r="AF22">
        <v>600</v>
      </c>
    </row>
    <row r="23" spans="7:32" x14ac:dyDescent="0.25">
      <c r="S23" s="12">
        <v>18</v>
      </c>
      <c r="T23" s="12">
        <v>3.1044835119999998</v>
      </c>
      <c r="U23" s="12">
        <v>50</v>
      </c>
      <c r="V23" s="12">
        <v>2</v>
      </c>
      <c r="W23" s="12">
        <v>1862324</v>
      </c>
      <c r="X23" s="12">
        <v>600</v>
      </c>
      <c r="AA23">
        <v>18</v>
      </c>
      <c r="AB23">
        <v>3.0827194370778801</v>
      </c>
      <c r="AC23">
        <v>50</v>
      </c>
      <c r="AD23">
        <v>2</v>
      </c>
      <c r="AE23">
        <v>2000000</v>
      </c>
      <c r="AF23">
        <v>600</v>
      </c>
    </row>
    <row r="24" spans="7:32" x14ac:dyDescent="0.25">
      <c r="S24" s="12">
        <v>19</v>
      </c>
      <c r="T24" s="12">
        <v>3.210716788</v>
      </c>
      <c r="U24" s="12">
        <v>50</v>
      </c>
      <c r="V24" s="12">
        <v>2</v>
      </c>
      <c r="W24" s="12">
        <v>1922610</v>
      </c>
      <c r="X24" s="12">
        <v>600</v>
      </c>
      <c r="AA24">
        <v>19</v>
      </c>
      <c r="AB24">
        <v>3.1814131008577</v>
      </c>
      <c r="AC24">
        <v>50</v>
      </c>
      <c r="AD24">
        <v>2</v>
      </c>
      <c r="AE24">
        <v>2000000</v>
      </c>
      <c r="AF24">
        <v>600</v>
      </c>
    </row>
    <row r="25" spans="7:32" x14ac:dyDescent="0.25">
      <c r="S25" s="12">
        <v>20</v>
      </c>
      <c r="T25" s="12">
        <v>3.3039491519999999</v>
      </c>
      <c r="U25" s="12">
        <v>50</v>
      </c>
      <c r="V25" s="12">
        <v>2</v>
      </c>
      <c r="W25" s="12">
        <v>1971238</v>
      </c>
      <c r="X25" s="12">
        <v>600</v>
      </c>
      <c r="AA25">
        <v>20</v>
      </c>
      <c r="AB25">
        <v>3.2692480353892299</v>
      </c>
      <c r="AC25">
        <v>50</v>
      </c>
      <c r="AD25">
        <v>2</v>
      </c>
      <c r="AE25">
        <v>2000000</v>
      </c>
      <c r="AF25">
        <v>600</v>
      </c>
    </row>
    <row r="26" spans="7:32" x14ac:dyDescent="0.25">
      <c r="S26" s="12">
        <v>21</v>
      </c>
      <c r="T26" s="12">
        <v>3.3754053970000002</v>
      </c>
      <c r="U26" s="12">
        <v>50</v>
      </c>
      <c r="V26" s="12">
        <v>2</v>
      </c>
      <c r="W26" s="12">
        <v>2000000</v>
      </c>
      <c r="X26" s="12">
        <v>600</v>
      </c>
      <c r="AA26">
        <v>21</v>
      </c>
      <c r="AB26">
        <v>3.34631146896748</v>
      </c>
      <c r="AC26">
        <v>50</v>
      </c>
      <c r="AD26">
        <v>2</v>
      </c>
      <c r="AE26">
        <v>2000000</v>
      </c>
      <c r="AF26">
        <v>600</v>
      </c>
    </row>
    <row r="27" spans="7:32" x14ac:dyDescent="0.25">
      <c r="S27" s="12">
        <v>22</v>
      </c>
      <c r="T27" s="12">
        <v>3.4121860439999998</v>
      </c>
      <c r="U27" s="12">
        <v>50</v>
      </c>
      <c r="V27" s="12">
        <v>2</v>
      </c>
      <c r="W27" s="12">
        <v>2000000</v>
      </c>
      <c r="X27" s="12">
        <v>600</v>
      </c>
      <c r="AA27">
        <v>22</v>
      </c>
      <c r="AB27">
        <v>3.3902586096430198</v>
      </c>
      <c r="AC27">
        <v>50</v>
      </c>
      <c r="AD27">
        <v>2</v>
      </c>
      <c r="AE27">
        <v>2000000</v>
      </c>
      <c r="AF27">
        <v>600</v>
      </c>
    </row>
    <row r="28" spans="7:32" x14ac:dyDescent="0.25">
      <c r="S28" s="12">
        <v>23</v>
      </c>
      <c r="T28" s="12">
        <v>3.4370633320000001</v>
      </c>
      <c r="U28" s="12">
        <v>50</v>
      </c>
      <c r="V28" s="12">
        <v>2</v>
      </c>
      <c r="W28" s="12">
        <v>2000000</v>
      </c>
      <c r="X28" s="12">
        <v>600</v>
      </c>
      <c r="AA28">
        <v>23</v>
      </c>
      <c r="AB28">
        <v>3.4222049832983901</v>
      </c>
      <c r="AC28">
        <v>50</v>
      </c>
      <c r="AD28">
        <v>2</v>
      </c>
      <c r="AE28">
        <v>2000000</v>
      </c>
      <c r="AF28">
        <v>600</v>
      </c>
    </row>
    <row r="29" spans="7:32" x14ac:dyDescent="0.25">
      <c r="S29" s="12">
        <v>24</v>
      </c>
      <c r="T29" s="12">
        <v>3.4587884990000002</v>
      </c>
      <c r="U29" s="12">
        <v>50</v>
      </c>
      <c r="V29" s="12">
        <v>2</v>
      </c>
      <c r="W29" s="12">
        <v>2000000</v>
      </c>
      <c r="X29" s="12">
        <v>600</v>
      </c>
      <c r="AA29">
        <v>24</v>
      </c>
      <c r="AB29">
        <v>3.4397285287494999</v>
      </c>
      <c r="AC29">
        <v>50</v>
      </c>
      <c r="AD29">
        <v>2</v>
      </c>
      <c r="AE29">
        <v>2000000</v>
      </c>
      <c r="AF29">
        <v>600</v>
      </c>
    </row>
    <row r="30" spans="7:32" x14ac:dyDescent="0.25">
      <c r="S30" s="12">
        <v>25</v>
      </c>
      <c r="T30" s="12">
        <v>3.4535568620000001</v>
      </c>
      <c r="U30" s="12">
        <v>50</v>
      </c>
      <c r="V30" s="12">
        <v>2</v>
      </c>
      <c r="W30" s="12">
        <v>2000000</v>
      </c>
      <c r="X30" s="12">
        <v>600</v>
      </c>
      <c r="AA30">
        <v>25</v>
      </c>
      <c r="AB30">
        <v>3.4548565566187399</v>
      </c>
      <c r="AC30">
        <v>50</v>
      </c>
      <c r="AD30">
        <v>2</v>
      </c>
      <c r="AE30">
        <v>2000000</v>
      </c>
      <c r="AF30">
        <v>600</v>
      </c>
    </row>
    <row r="31" spans="7:32" x14ac:dyDescent="0.25">
      <c r="S31" s="12">
        <v>26</v>
      </c>
      <c r="T31" s="12">
        <v>3.4453679510000002</v>
      </c>
      <c r="U31" s="12">
        <v>50</v>
      </c>
      <c r="V31" s="12">
        <v>2</v>
      </c>
      <c r="W31" s="12">
        <v>2000000</v>
      </c>
      <c r="X31" s="12">
        <v>600</v>
      </c>
      <c r="AA31">
        <v>26</v>
      </c>
      <c r="AB31">
        <v>3.4690494610669198</v>
      </c>
      <c r="AC31">
        <v>50</v>
      </c>
      <c r="AD31">
        <v>2</v>
      </c>
      <c r="AE31">
        <v>2000000</v>
      </c>
      <c r="AF31">
        <v>600</v>
      </c>
    </row>
    <row r="32" spans="7:32" x14ac:dyDescent="0.25">
      <c r="S32" s="12">
        <v>27</v>
      </c>
      <c r="T32" s="12">
        <v>3.4371790400000002</v>
      </c>
      <c r="U32" s="12">
        <v>50</v>
      </c>
      <c r="V32" s="12">
        <v>2</v>
      </c>
      <c r="W32" s="12">
        <v>2000000</v>
      </c>
      <c r="X32" s="12">
        <v>600</v>
      </c>
      <c r="AA32">
        <v>27</v>
      </c>
      <c r="AB32">
        <v>3.4832423655151001</v>
      </c>
      <c r="AC32">
        <v>50</v>
      </c>
      <c r="AD32">
        <v>2</v>
      </c>
      <c r="AE32">
        <v>2000000</v>
      </c>
      <c r="AF32">
        <v>600</v>
      </c>
    </row>
    <row r="33" spans="21:30" ht="15.75" thickBot="1" x14ac:dyDescent="0.3"/>
    <row r="34" spans="21:30" ht="15.75" thickBot="1" x14ac:dyDescent="0.3">
      <c r="AA34" s="9" t="s">
        <v>17</v>
      </c>
      <c r="AB34" s="11"/>
      <c r="AC34" s="11"/>
    </row>
    <row r="35" spans="21:30" ht="15.75" thickBot="1" x14ac:dyDescent="0.3">
      <c r="U35" s="13" t="s">
        <v>13</v>
      </c>
      <c r="Y35" t="s">
        <v>7</v>
      </c>
      <c r="Z35" t="s">
        <v>8</v>
      </c>
      <c r="AA35" t="s">
        <v>9</v>
      </c>
      <c r="AB35" t="s">
        <v>10</v>
      </c>
      <c r="AC35" t="s">
        <v>11</v>
      </c>
      <c r="AD35" t="s">
        <v>12</v>
      </c>
    </row>
    <row r="36" spans="21:30" x14ac:dyDescent="0.25">
      <c r="Y36">
        <v>0</v>
      </c>
      <c r="Z36">
        <v>1.16369025971786</v>
      </c>
      <c r="AA36">
        <v>370</v>
      </c>
      <c r="AB36">
        <v>1.4030768497089401</v>
      </c>
      <c r="AC36">
        <v>2000000</v>
      </c>
      <c r="AD36">
        <v>600</v>
      </c>
    </row>
    <row r="37" spans="21:30" x14ac:dyDescent="0.25">
      <c r="Y37">
        <v>1</v>
      </c>
      <c r="Z37">
        <v>1.24913354186229</v>
      </c>
      <c r="AA37">
        <v>240</v>
      </c>
      <c r="AB37">
        <v>0.81860430505974402</v>
      </c>
      <c r="AC37">
        <v>2000000</v>
      </c>
      <c r="AD37">
        <v>600</v>
      </c>
    </row>
    <row r="38" spans="21:30" x14ac:dyDescent="0.25">
      <c r="Y38">
        <v>2</v>
      </c>
      <c r="Z38">
        <v>1.3442212751009299</v>
      </c>
      <c r="AA38">
        <v>240</v>
      </c>
      <c r="AB38">
        <v>0.79606329054005198</v>
      </c>
      <c r="AC38">
        <v>2000000</v>
      </c>
      <c r="AD38">
        <v>600</v>
      </c>
    </row>
    <row r="39" spans="21:30" x14ac:dyDescent="0.25">
      <c r="Y39">
        <v>3</v>
      </c>
      <c r="Z39">
        <v>1.43651239789754</v>
      </c>
      <c r="AA39">
        <v>240</v>
      </c>
      <c r="AB39">
        <v>0.77047249571731602</v>
      </c>
      <c r="AC39">
        <v>2000000</v>
      </c>
      <c r="AD39">
        <v>600</v>
      </c>
    </row>
    <row r="40" spans="21:30" x14ac:dyDescent="0.25">
      <c r="Y40">
        <v>4</v>
      </c>
      <c r="Z40">
        <v>1.5291609066156</v>
      </c>
      <c r="AA40">
        <v>240</v>
      </c>
      <c r="AB40">
        <v>0.74402489777622305</v>
      </c>
      <c r="AC40">
        <v>2000000</v>
      </c>
      <c r="AD40">
        <v>600</v>
      </c>
    </row>
    <row r="41" spans="21:30" x14ac:dyDescent="0.25">
      <c r="Y41">
        <v>5</v>
      </c>
      <c r="Z41">
        <v>1.63174028144106</v>
      </c>
      <c r="AA41">
        <v>370</v>
      </c>
      <c r="AB41">
        <v>1.9027261782570299</v>
      </c>
      <c r="AC41">
        <v>2000000</v>
      </c>
      <c r="AD41">
        <v>600</v>
      </c>
    </row>
    <row r="42" spans="21:30" x14ac:dyDescent="0.25">
      <c r="Y42">
        <v>6</v>
      </c>
      <c r="Z42">
        <v>1.73326314317009</v>
      </c>
      <c r="AA42">
        <v>370</v>
      </c>
      <c r="AB42">
        <v>1.9178953936183301</v>
      </c>
      <c r="AC42">
        <v>2000000</v>
      </c>
      <c r="AD42">
        <v>600</v>
      </c>
    </row>
    <row r="43" spans="21:30" x14ac:dyDescent="0.25">
      <c r="Y43">
        <v>7</v>
      </c>
      <c r="Z43">
        <v>1.8344830952098099</v>
      </c>
      <c r="AA43">
        <v>370</v>
      </c>
      <c r="AB43">
        <v>2</v>
      </c>
      <c r="AC43">
        <v>2000000</v>
      </c>
      <c r="AD43">
        <v>600</v>
      </c>
    </row>
    <row r="44" spans="21:30" x14ac:dyDescent="0.25">
      <c r="Y44">
        <v>8</v>
      </c>
      <c r="Z44">
        <v>1.93633394708781</v>
      </c>
      <c r="AA44">
        <v>370</v>
      </c>
      <c r="AB44">
        <v>2</v>
      </c>
      <c r="AC44">
        <v>2000000</v>
      </c>
      <c r="AD44">
        <v>600</v>
      </c>
    </row>
    <row r="45" spans="21:30" x14ac:dyDescent="0.25">
      <c r="Y45">
        <v>9</v>
      </c>
      <c r="Z45">
        <v>2.0452641518224799</v>
      </c>
      <c r="AA45">
        <v>370</v>
      </c>
      <c r="AB45">
        <v>2</v>
      </c>
      <c r="AC45">
        <v>2000000</v>
      </c>
      <c r="AD45">
        <v>600</v>
      </c>
    </row>
    <row r="46" spans="21:30" x14ac:dyDescent="0.25">
      <c r="Y46">
        <v>10</v>
      </c>
      <c r="Z46">
        <v>2.1523191707020302</v>
      </c>
      <c r="AA46">
        <v>370</v>
      </c>
      <c r="AB46">
        <v>2</v>
      </c>
      <c r="AC46">
        <v>2000000</v>
      </c>
      <c r="AD46">
        <v>600</v>
      </c>
    </row>
    <row r="47" spans="21:30" x14ac:dyDescent="0.25">
      <c r="Y47">
        <v>11</v>
      </c>
      <c r="Z47">
        <v>2.2580761461679302</v>
      </c>
      <c r="AA47">
        <v>370</v>
      </c>
      <c r="AB47">
        <v>2</v>
      </c>
      <c r="AC47">
        <v>2000000</v>
      </c>
      <c r="AD47">
        <v>600</v>
      </c>
    </row>
    <row r="48" spans="21:30" x14ac:dyDescent="0.25">
      <c r="Y48">
        <v>12</v>
      </c>
      <c r="Z48">
        <v>2.3777388265627799</v>
      </c>
      <c r="AA48">
        <v>284</v>
      </c>
      <c r="AB48">
        <v>1.6029833319726401</v>
      </c>
      <c r="AC48">
        <v>2000000</v>
      </c>
      <c r="AD48">
        <v>600</v>
      </c>
    </row>
    <row r="49" spans="5:30" x14ac:dyDescent="0.25">
      <c r="Y49">
        <v>13</v>
      </c>
      <c r="Z49">
        <v>2.49639794926521</v>
      </c>
      <c r="AA49">
        <v>287</v>
      </c>
      <c r="AB49">
        <v>1.65365356228209</v>
      </c>
      <c r="AC49">
        <v>2000000</v>
      </c>
      <c r="AD49">
        <v>600</v>
      </c>
    </row>
    <row r="50" spans="5:30" x14ac:dyDescent="0.25">
      <c r="Y50">
        <v>14</v>
      </c>
      <c r="Z50">
        <v>2.6158093888716598</v>
      </c>
      <c r="AA50">
        <v>290</v>
      </c>
      <c r="AB50">
        <v>1.7259047066175299</v>
      </c>
      <c r="AC50">
        <v>2000000</v>
      </c>
      <c r="AD50">
        <v>600</v>
      </c>
    </row>
    <row r="51" spans="5:30" x14ac:dyDescent="0.25">
      <c r="Y51">
        <v>15</v>
      </c>
      <c r="Z51">
        <v>2.71094462300836</v>
      </c>
      <c r="AA51">
        <v>323</v>
      </c>
      <c r="AB51">
        <v>2</v>
      </c>
      <c r="AC51">
        <v>2000000</v>
      </c>
      <c r="AD51">
        <v>600</v>
      </c>
    </row>
    <row r="52" spans="5:30" x14ac:dyDescent="0.25">
      <c r="Y52">
        <v>16</v>
      </c>
      <c r="Z52">
        <v>2.8522603082045999</v>
      </c>
      <c r="AA52">
        <v>298</v>
      </c>
      <c r="AB52">
        <v>1.81541996575431</v>
      </c>
      <c r="AC52">
        <v>2000000</v>
      </c>
      <c r="AD52">
        <v>600</v>
      </c>
    </row>
    <row r="53" spans="5:30" x14ac:dyDescent="0.25">
      <c r="Y53">
        <v>17</v>
      </c>
      <c r="Z53">
        <v>2.9719790976206601</v>
      </c>
      <c r="AA53">
        <v>295</v>
      </c>
      <c r="AB53">
        <v>1.85732315256537</v>
      </c>
      <c r="AC53">
        <v>2000000</v>
      </c>
      <c r="AD53">
        <v>600</v>
      </c>
    </row>
    <row r="54" spans="5:30" x14ac:dyDescent="0.25">
      <c r="Y54">
        <v>18</v>
      </c>
      <c r="Z54">
        <v>3.0902094245203799</v>
      </c>
      <c r="AA54">
        <v>301</v>
      </c>
      <c r="AB54">
        <v>1.9152752613630399</v>
      </c>
      <c r="AC54">
        <v>2000000</v>
      </c>
      <c r="AD54">
        <v>600</v>
      </c>
    </row>
    <row r="55" spans="5:30" x14ac:dyDescent="0.25">
      <c r="Y55">
        <v>19</v>
      </c>
      <c r="Z55">
        <v>3.2060834969884802</v>
      </c>
      <c r="AA55">
        <v>299</v>
      </c>
      <c r="AB55">
        <v>2</v>
      </c>
      <c r="AC55">
        <v>2000000</v>
      </c>
      <c r="AD55">
        <v>600</v>
      </c>
    </row>
    <row r="56" spans="5:30" x14ac:dyDescent="0.25">
      <c r="Y56">
        <v>20</v>
      </c>
      <c r="Z56">
        <v>3.2979787911071998</v>
      </c>
      <c r="AA56">
        <v>299</v>
      </c>
      <c r="AB56">
        <v>2</v>
      </c>
      <c r="AC56">
        <v>2000000</v>
      </c>
      <c r="AD56">
        <v>600</v>
      </c>
    </row>
    <row r="57" spans="5:30" x14ac:dyDescent="0.25">
      <c r="Y57">
        <v>21</v>
      </c>
      <c r="Z57">
        <v>3.3601181784771201</v>
      </c>
      <c r="AA57">
        <v>295</v>
      </c>
      <c r="AB57">
        <v>2</v>
      </c>
      <c r="AC57">
        <v>2000000</v>
      </c>
      <c r="AD57">
        <v>600</v>
      </c>
    </row>
    <row r="58" spans="5:30" x14ac:dyDescent="0.25">
      <c r="Y58">
        <v>22</v>
      </c>
      <c r="Z58">
        <v>3.4029657145452501</v>
      </c>
      <c r="AA58">
        <v>284</v>
      </c>
      <c r="AB58">
        <v>2</v>
      </c>
      <c r="AC58">
        <v>2000000</v>
      </c>
      <c r="AD58">
        <v>600</v>
      </c>
    </row>
    <row r="59" spans="5:30" x14ac:dyDescent="0.25">
      <c r="Y59">
        <v>23</v>
      </c>
      <c r="Z59">
        <v>3.4253480456309799</v>
      </c>
      <c r="AA59">
        <v>272</v>
      </c>
      <c r="AB59">
        <v>2</v>
      </c>
      <c r="AC59">
        <v>2000000</v>
      </c>
      <c r="AD59">
        <v>600</v>
      </c>
    </row>
    <row r="60" spans="5:30" x14ac:dyDescent="0.25">
      <c r="Y60">
        <v>24</v>
      </c>
      <c r="Z60">
        <v>3.44238874354058</v>
      </c>
      <c r="AA60">
        <v>262</v>
      </c>
      <c r="AB60">
        <v>2</v>
      </c>
      <c r="AC60">
        <v>2000000</v>
      </c>
      <c r="AD60">
        <v>600</v>
      </c>
    </row>
    <row r="61" spans="5:30" x14ac:dyDescent="0.25">
      <c r="Y61">
        <v>25</v>
      </c>
      <c r="Z61">
        <v>3.4657011033449399</v>
      </c>
      <c r="AA61">
        <v>240</v>
      </c>
      <c r="AB61">
        <v>2</v>
      </c>
      <c r="AC61">
        <v>2000000</v>
      </c>
      <c r="AD61">
        <v>600</v>
      </c>
    </row>
    <row r="62" spans="5:30" ht="15.75" thickBot="1" x14ac:dyDescent="0.3">
      <c r="Y62">
        <v>26</v>
      </c>
      <c r="Z62">
        <v>3.4827335625295399</v>
      </c>
      <c r="AA62">
        <v>240</v>
      </c>
      <c r="AB62">
        <v>2</v>
      </c>
      <c r="AC62">
        <v>2000000</v>
      </c>
      <c r="AD62">
        <v>600</v>
      </c>
    </row>
    <row r="63" spans="5:30" ht="15.75" thickBot="1" x14ac:dyDescent="0.3">
      <c r="S63" s="9" t="s">
        <v>15</v>
      </c>
      <c r="T63" s="11"/>
      <c r="U63" s="11"/>
      <c r="Y63">
        <v>27</v>
      </c>
      <c r="Z63">
        <v>3.49976602171414</v>
      </c>
      <c r="AA63">
        <v>240</v>
      </c>
      <c r="AB63">
        <v>2</v>
      </c>
      <c r="AC63">
        <v>2000000</v>
      </c>
      <c r="AD63">
        <v>600</v>
      </c>
    </row>
    <row r="64" spans="5:30" ht="15.75" thickBot="1" x14ac:dyDescent="0.3">
      <c r="E64" s="9" t="s">
        <v>23</v>
      </c>
      <c r="F64" s="16"/>
      <c r="G64" s="17"/>
    </row>
    <row r="65" spans="4:31" ht="15.75" thickBot="1" x14ac:dyDescent="0.3">
      <c r="R65" s="15" t="s">
        <v>7</v>
      </c>
      <c r="S65" s="15" t="s">
        <v>8</v>
      </c>
      <c r="T65" s="15" t="s">
        <v>9</v>
      </c>
      <c r="U65" s="15" t="s">
        <v>10</v>
      </c>
      <c r="V65" s="15" t="s">
        <v>11</v>
      </c>
      <c r="W65" s="15" t="s">
        <v>12</v>
      </c>
    </row>
    <row r="66" spans="4:31" ht="15.75" thickBot="1" x14ac:dyDescent="0.3">
      <c r="D66" t="s">
        <v>7</v>
      </c>
      <c r="E66" t="s">
        <v>18</v>
      </c>
      <c r="F66" t="s">
        <v>20</v>
      </c>
      <c r="G66" t="s">
        <v>21</v>
      </c>
      <c r="H66" t="s">
        <v>11</v>
      </c>
      <c r="I66" t="s">
        <v>12</v>
      </c>
      <c r="J66" t="s">
        <v>19</v>
      </c>
      <c r="K66" t="s">
        <v>22</v>
      </c>
      <c r="R66" s="15">
        <v>0</v>
      </c>
      <c r="S66" s="15">
        <v>3.2774754939999999</v>
      </c>
      <c r="T66" s="15">
        <v>311</v>
      </c>
      <c r="U66" s="15">
        <v>3.6946490000000001</v>
      </c>
      <c r="V66" s="15">
        <v>2500000</v>
      </c>
      <c r="W66" s="15">
        <v>800</v>
      </c>
      <c r="AA66" s="9" t="s">
        <v>28</v>
      </c>
      <c r="AB66" s="16"/>
      <c r="AC66" s="16"/>
      <c r="AD66" s="16"/>
      <c r="AE66" s="17"/>
    </row>
    <row r="67" spans="4:31" x14ac:dyDescent="0.25">
      <c r="D67">
        <v>0</v>
      </c>
      <c r="E67">
        <v>0</v>
      </c>
      <c r="F67">
        <v>234</v>
      </c>
      <c r="G67">
        <v>6.5698265089761696</v>
      </c>
      <c r="H67">
        <v>1077480</v>
      </c>
      <c r="I67">
        <v>574</v>
      </c>
      <c r="J67">
        <f>F67/I67 * 100</f>
        <v>40.766550522648082</v>
      </c>
      <c r="K67">
        <f>G67/I67 * 100</f>
        <v>1.1445690782188449</v>
      </c>
      <c r="R67" s="15">
        <v>1</v>
      </c>
      <c r="S67" s="15">
        <v>3.3080350379999999</v>
      </c>
      <c r="T67" s="15">
        <v>365</v>
      </c>
      <c r="U67" s="15">
        <v>1</v>
      </c>
      <c r="V67" s="15">
        <v>2500000</v>
      </c>
      <c r="W67" s="15">
        <v>800</v>
      </c>
      <c r="Z67" s="15" t="s">
        <v>7</v>
      </c>
      <c r="AA67" s="15" t="s">
        <v>8</v>
      </c>
      <c r="AB67" s="15" t="s">
        <v>9</v>
      </c>
      <c r="AC67" s="15" t="s">
        <v>10</v>
      </c>
      <c r="AD67" s="15" t="s">
        <v>11</v>
      </c>
      <c r="AE67" s="15" t="s">
        <v>12</v>
      </c>
    </row>
    <row r="68" spans="4:31" x14ac:dyDescent="0.25">
      <c r="D68">
        <v>1</v>
      </c>
      <c r="E68">
        <v>0</v>
      </c>
      <c r="F68">
        <v>241</v>
      </c>
      <c r="G68">
        <v>6.2080546972775803</v>
      </c>
      <c r="H68">
        <v>1000000</v>
      </c>
      <c r="I68">
        <v>569</v>
      </c>
      <c r="J68">
        <f t="shared" ref="J68:J96" si="3">F68/I68 * 100</f>
        <v>42.355008787346222</v>
      </c>
      <c r="K68">
        <f t="shared" ref="K68:K96" si="4">G68/I68 * 100</f>
        <v>1.0910465197324395</v>
      </c>
      <c r="R68" s="15">
        <v>2</v>
      </c>
      <c r="S68" s="15">
        <v>3.460394006</v>
      </c>
      <c r="T68" s="15">
        <v>310</v>
      </c>
      <c r="U68" s="15">
        <v>4.6631919999999996</v>
      </c>
      <c r="V68" s="15">
        <v>2500000</v>
      </c>
      <c r="W68" s="15">
        <v>800</v>
      </c>
      <c r="Z68" s="15">
        <v>0</v>
      </c>
      <c r="AA68" s="15">
        <v>1.956539</v>
      </c>
      <c r="AB68" s="15">
        <v>200</v>
      </c>
      <c r="AC68" s="15">
        <v>1</v>
      </c>
      <c r="AD68" s="15">
        <v>500000</v>
      </c>
      <c r="AE68" s="15">
        <v>400</v>
      </c>
    </row>
    <row r="69" spans="4:31" x14ac:dyDescent="0.25">
      <c r="D69">
        <v>2</v>
      </c>
      <c r="E69">
        <v>0</v>
      </c>
      <c r="F69">
        <v>236</v>
      </c>
      <c r="G69">
        <v>6.91074289911277</v>
      </c>
      <c r="H69">
        <v>1105016</v>
      </c>
      <c r="I69">
        <v>569</v>
      </c>
      <c r="J69">
        <f t="shared" si="3"/>
        <v>41.476274165202106</v>
      </c>
      <c r="K69">
        <f t="shared" si="4"/>
        <v>1.2145418100373937</v>
      </c>
      <c r="R69" s="15">
        <v>3</v>
      </c>
      <c r="S69" s="15">
        <v>3.5462414920000001</v>
      </c>
      <c r="T69" s="15">
        <v>312</v>
      </c>
      <c r="U69" s="15">
        <v>5.3903569999999998</v>
      </c>
      <c r="V69" s="15">
        <v>2500000</v>
      </c>
      <c r="W69" s="15">
        <v>800</v>
      </c>
      <c r="Z69" s="15">
        <v>1</v>
      </c>
      <c r="AA69" s="15">
        <v>1.9997560000000001</v>
      </c>
      <c r="AB69" s="15">
        <v>200</v>
      </c>
      <c r="AC69" s="15">
        <v>1</v>
      </c>
      <c r="AD69" s="15">
        <v>500000</v>
      </c>
      <c r="AE69" s="15">
        <v>400</v>
      </c>
    </row>
    <row r="70" spans="4:31" x14ac:dyDescent="0.25">
      <c r="D70">
        <v>3</v>
      </c>
      <c r="E70">
        <v>0</v>
      </c>
      <c r="F70">
        <v>248</v>
      </c>
      <c r="G70">
        <v>6.2559408368095601</v>
      </c>
      <c r="H70">
        <v>1123075</v>
      </c>
      <c r="I70">
        <v>553</v>
      </c>
      <c r="J70">
        <f t="shared" si="3"/>
        <v>44.846292947558766</v>
      </c>
      <c r="K70">
        <f t="shared" si="4"/>
        <v>1.1312732073796672</v>
      </c>
      <c r="R70" s="15">
        <v>4</v>
      </c>
      <c r="S70" s="15">
        <v>3.6391248840000001</v>
      </c>
      <c r="T70" s="15">
        <v>310</v>
      </c>
      <c r="U70" s="15">
        <v>5.1147</v>
      </c>
      <c r="V70" s="15">
        <v>2500000</v>
      </c>
      <c r="W70" s="15">
        <v>800</v>
      </c>
      <c r="Z70" s="15">
        <v>2</v>
      </c>
      <c r="AA70" s="15">
        <v>2.0416530000000002</v>
      </c>
      <c r="AB70" s="15">
        <v>200</v>
      </c>
      <c r="AC70" s="15">
        <v>1</v>
      </c>
      <c r="AD70" s="15">
        <v>500000</v>
      </c>
      <c r="AE70" s="15">
        <v>400</v>
      </c>
    </row>
    <row r="71" spans="4:31" x14ac:dyDescent="0.25">
      <c r="D71">
        <v>4</v>
      </c>
      <c r="E71">
        <v>0</v>
      </c>
      <c r="F71">
        <v>255</v>
      </c>
      <c r="G71">
        <v>4.7560859602475496</v>
      </c>
      <c r="H71">
        <v>1000000</v>
      </c>
      <c r="I71">
        <v>536</v>
      </c>
      <c r="J71">
        <f t="shared" si="3"/>
        <v>47.574626865671647</v>
      </c>
      <c r="K71">
        <f t="shared" si="4"/>
        <v>0.8873294701954384</v>
      </c>
      <c r="R71" s="15">
        <v>5</v>
      </c>
      <c r="S71" s="15">
        <v>3.7244699219999999</v>
      </c>
      <c r="T71" s="15">
        <v>316</v>
      </c>
      <c r="U71" s="15">
        <v>5.4518930000000001</v>
      </c>
      <c r="V71" s="15">
        <v>2500000</v>
      </c>
      <c r="W71" s="15">
        <v>800</v>
      </c>
      <c r="Z71" s="15">
        <v>3</v>
      </c>
      <c r="AA71" s="15">
        <v>2.0826910000000001</v>
      </c>
      <c r="AB71" s="15">
        <v>200</v>
      </c>
      <c r="AC71" s="15">
        <v>1</v>
      </c>
      <c r="AD71" s="15">
        <v>500000</v>
      </c>
      <c r="AE71" s="15">
        <v>400</v>
      </c>
    </row>
    <row r="72" spans="4:31" x14ac:dyDescent="0.25">
      <c r="D72">
        <v>5</v>
      </c>
      <c r="E72">
        <v>0</v>
      </c>
      <c r="F72">
        <v>244</v>
      </c>
      <c r="G72">
        <v>5.3068204569515203</v>
      </c>
      <c r="H72">
        <v>1040814</v>
      </c>
      <c r="I72">
        <v>533</v>
      </c>
      <c r="J72">
        <f t="shared" si="3"/>
        <v>45.778611632270163</v>
      </c>
      <c r="K72">
        <f t="shared" si="4"/>
        <v>0.99565111762692693</v>
      </c>
      <c r="R72" s="15">
        <v>6</v>
      </c>
      <c r="S72" s="15">
        <v>3.809519318</v>
      </c>
      <c r="T72" s="15">
        <v>311</v>
      </c>
      <c r="U72" s="15">
        <v>5.8091730000000004</v>
      </c>
      <c r="V72" s="15">
        <v>2500000</v>
      </c>
      <c r="W72" s="15">
        <v>800</v>
      </c>
      <c r="Z72" s="15">
        <v>4</v>
      </c>
      <c r="AA72" s="15">
        <v>2.1237469999999998</v>
      </c>
      <c r="AB72" s="15">
        <v>200</v>
      </c>
      <c r="AC72" s="15">
        <v>1</v>
      </c>
      <c r="AD72" s="15">
        <v>500000</v>
      </c>
      <c r="AE72" s="15">
        <v>400</v>
      </c>
    </row>
    <row r="73" spans="4:31" x14ac:dyDescent="0.25">
      <c r="D73">
        <v>6</v>
      </c>
      <c r="E73">
        <v>0</v>
      </c>
      <c r="F73">
        <v>233</v>
      </c>
      <c r="G73">
        <v>4.9510135156683699</v>
      </c>
      <c r="H73">
        <v>1000000</v>
      </c>
      <c r="I73">
        <v>582</v>
      </c>
      <c r="J73">
        <f t="shared" si="3"/>
        <v>40.034364261168385</v>
      </c>
      <c r="K73">
        <f t="shared" si="4"/>
        <v>0.85068960750315648</v>
      </c>
      <c r="R73" s="15">
        <v>7</v>
      </c>
      <c r="S73" s="15">
        <v>3.9189403299999999</v>
      </c>
      <c r="T73" s="15">
        <v>235</v>
      </c>
      <c r="U73" s="15">
        <v>9.7287180000000006</v>
      </c>
      <c r="V73" s="15">
        <v>2500000</v>
      </c>
      <c r="W73" s="15">
        <v>800</v>
      </c>
      <c r="Z73" s="15">
        <v>5</v>
      </c>
      <c r="AA73" s="15">
        <v>2.1648040000000002</v>
      </c>
      <c r="AB73" s="15">
        <v>200</v>
      </c>
      <c r="AC73" s="15">
        <v>1</v>
      </c>
      <c r="AD73" s="15">
        <v>500000</v>
      </c>
      <c r="AE73" s="15">
        <v>400</v>
      </c>
    </row>
    <row r="74" spans="4:31" x14ac:dyDescent="0.25">
      <c r="D74">
        <v>7</v>
      </c>
      <c r="E74">
        <v>0</v>
      </c>
      <c r="F74">
        <v>242</v>
      </c>
      <c r="G74">
        <v>5.43872489013558</v>
      </c>
      <c r="H74">
        <v>1033137</v>
      </c>
      <c r="I74">
        <v>546</v>
      </c>
      <c r="J74">
        <f t="shared" si="3"/>
        <v>44.322344322344321</v>
      </c>
      <c r="K74">
        <f t="shared" si="4"/>
        <v>0.99610345973179126</v>
      </c>
      <c r="R74" s="15">
        <v>8</v>
      </c>
      <c r="S74" s="15">
        <v>4.0198403880000004</v>
      </c>
      <c r="T74" s="15">
        <v>238</v>
      </c>
      <c r="U74" s="15">
        <v>9.5291060000000005</v>
      </c>
      <c r="V74" s="15">
        <v>2500000</v>
      </c>
      <c r="W74" s="15">
        <v>800</v>
      </c>
      <c r="Z74" s="15">
        <v>6</v>
      </c>
      <c r="AA74" s="15">
        <v>2.2055509999999998</v>
      </c>
      <c r="AB74" s="15">
        <v>200</v>
      </c>
      <c r="AC74" s="15">
        <v>1</v>
      </c>
      <c r="AD74" s="15">
        <v>500000</v>
      </c>
      <c r="AE74" s="15">
        <v>400</v>
      </c>
    </row>
    <row r="75" spans="4:31" x14ac:dyDescent="0.25">
      <c r="D75">
        <v>8</v>
      </c>
      <c r="E75">
        <v>0</v>
      </c>
      <c r="F75">
        <v>237</v>
      </c>
      <c r="G75">
        <v>4.2080036353349</v>
      </c>
      <c r="H75">
        <v>1000000</v>
      </c>
      <c r="I75">
        <v>572</v>
      </c>
      <c r="J75">
        <f t="shared" si="3"/>
        <v>41.433566433566433</v>
      </c>
      <c r="K75">
        <f t="shared" si="4"/>
        <v>0.73566497121239505</v>
      </c>
      <c r="R75" s="15">
        <v>9</v>
      </c>
      <c r="S75" s="15">
        <v>4.1223687590000004</v>
      </c>
      <c r="T75" s="15">
        <v>235</v>
      </c>
      <c r="U75" s="15">
        <v>10.232049999999999</v>
      </c>
      <c r="V75" s="15">
        <v>2500000</v>
      </c>
      <c r="W75" s="15">
        <v>800</v>
      </c>
      <c r="Z75" s="15">
        <v>7</v>
      </c>
      <c r="AA75" s="15">
        <v>2.2462029999999999</v>
      </c>
      <c r="AB75" s="15">
        <v>200</v>
      </c>
      <c r="AC75" s="15">
        <v>1</v>
      </c>
      <c r="AD75" s="15">
        <v>500000</v>
      </c>
      <c r="AE75" s="15">
        <v>400</v>
      </c>
    </row>
    <row r="76" spans="4:31" x14ac:dyDescent="0.25">
      <c r="D76">
        <v>9</v>
      </c>
      <c r="E76">
        <v>0</v>
      </c>
      <c r="F76">
        <v>234</v>
      </c>
      <c r="G76">
        <v>4.4002010480257097</v>
      </c>
      <c r="H76">
        <v>1000000</v>
      </c>
      <c r="I76">
        <v>567</v>
      </c>
      <c r="J76">
        <f t="shared" si="3"/>
        <v>41.269841269841265</v>
      </c>
      <c r="K76">
        <f t="shared" si="4"/>
        <v>0.77604956755303522</v>
      </c>
      <c r="R76" s="15">
        <v>10</v>
      </c>
      <c r="S76" s="15">
        <v>4.2240550250000002</v>
      </c>
      <c r="T76" s="15">
        <v>235</v>
      </c>
      <c r="U76" s="15">
        <v>10.274660000000001</v>
      </c>
      <c r="V76" s="15">
        <v>2500000</v>
      </c>
      <c r="W76" s="15">
        <v>800</v>
      </c>
      <c r="Z76" s="15">
        <v>8</v>
      </c>
      <c r="AA76" s="15">
        <v>2.287979</v>
      </c>
      <c r="AB76" s="15">
        <v>200</v>
      </c>
      <c r="AC76" s="15">
        <v>1</v>
      </c>
      <c r="AD76" s="15">
        <v>500000</v>
      </c>
      <c r="AE76" s="15">
        <v>400</v>
      </c>
    </row>
    <row r="77" spans="4:31" x14ac:dyDescent="0.25">
      <c r="D77">
        <v>10</v>
      </c>
      <c r="E77">
        <v>0</v>
      </c>
      <c r="F77">
        <v>252</v>
      </c>
      <c r="G77">
        <v>4.5490761320525301</v>
      </c>
      <c r="H77">
        <v>1000000</v>
      </c>
      <c r="I77">
        <v>558</v>
      </c>
      <c r="J77">
        <f t="shared" si="3"/>
        <v>45.161290322580641</v>
      </c>
      <c r="K77">
        <f t="shared" si="4"/>
        <v>0.81524661864740677</v>
      </c>
      <c r="R77" s="15">
        <v>11</v>
      </c>
      <c r="S77" s="15">
        <v>4.3207434280000001</v>
      </c>
      <c r="T77" s="15">
        <v>238</v>
      </c>
      <c r="U77" s="15">
        <v>10.95449</v>
      </c>
      <c r="V77" s="15">
        <v>2500000</v>
      </c>
      <c r="W77" s="15">
        <v>800</v>
      </c>
      <c r="Z77" s="15">
        <v>9</v>
      </c>
      <c r="AA77" s="15">
        <v>2.3294990000000002</v>
      </c>
      <c r="AB77" s="15">
        <v>200</v>
      </c>
      <c r="AC77" s="15">
        <v>1</v>
      </c>
      <c r="AD77" s="15">
        <v>500000</v>
      </c>
      <c r="AE77" s="15">
        <v>400</v>
      </c>
    </row>
    <row r="78" spans="4:31" x14ac:dyDescent="0.25">
      <c r="D78">
        <v>11</v>
      </c>
      <c r="E78">
        <v>0</v>
      </c>
      <c r="F78">
        <v>236</v>
      </c>
      <c r="G78">
        <v>4.5098798887364904</v>
      </c>
      <c r="H78">
        <v>1000000</v>
      </c>
      <c r="I78">
        <v>571</v>
      </c>
      <c r="J78">
        <f t="shared" si="3"/>
        <v>41.330998248686512</v>
      </c>
      <c r="K78">
        <f t="shared" si="4"/>
        <v>0.78982134653878999</v>
      </c>
      <c r="R78" s="15">
        <v>12</v>
      </c>
      <c r="S78" s="15">
        <v>4.4271190110000003</v>
      </c>
      <c r="T78" s="15">
        <v>227</v>
      </c>
      <c r="U78" s="15">
        <v>10.79674</v>
      </c>
      <c r="V78" s="15">
        <v>2500000</v>
      </c>
      <c r="W78" s="15">
        <v>800</v>
      </c>
      <c r="Z78" s="15">
        <v>10</v>
      </c>
      <c r="AA78" s="15">
        <v>2.368026</v>
      </c>
      <c r="AB78" s="15">
        <v>200</v>
      </c>
      <c r="AC78" s="15">
        <v>1</v>
      </c>
      <c r="AD78" s="15">
        <v>500000</v>
      </c>
      <c r="AE78" s="15">
        <v>400</v>
      </c>
    </row>
    <row r="79" spans="4:31" x14ac:dyDescent="0.25">
      <c r="D79">
        <v>12</v>
      </c>
      <c r="E79">
        <v>0</v>
      </c>
      <c r="F79">
        <v>233</v>
      </c>
      <c r="G79">
        <v>4.7141534834445498</v>
      </c>
      <c r="H79">
        <v>1000000</v>
      </c>
      <c r="I79">
        <v>585</v>
      </c>
      <c r="J79">
        <f t="shared" si="3"/>
        <v>39.82905982905983</v>
      </c>
      <c r="K79">
        <f t="shared" si="4"/>
        <v>0.80583820229821368</v>
      </c>
      <c r="R79" s="15">
        <v>13</v>
      </c>
      <c r="S79" s="15">
        <v>4.5252373419999996</v>
      </c>
      <c r="T79" s="15">
        <v>234</v>
      </c>
      <c r="U79" s="15">
        <v>10.90765</v>
      </c>
      <c r="V79" s="15">
        <v>2500000</v>
      </c>
      <c r="W79" s="15">
        <v>800</v>
      </c>
      <c r="Z79" s="15">
        <v>11</v>
      </c>
      <c r="AA79" s="15">
        <v>2.4012069999999999</v>
      </c>
      <c r="AB79" s="15">
        <v>200</v>
      </c>
      <c r="AC79" s="15">
        <v>1</v>
      </c>
      <c r="AD79" s="15">
        <v>500000</v>
      </c>
      <c r="AE79" s="15">
        <v>400</v>
      </c>
    </row>
    <row r="80" spans="4:31" x14ac:dyDescent="0.25">
      <c r="D80">
        <v>13</v>
      </c>
      <c r="E80">
        <v>0</v>
      </c>
      <c r="F80">
        <v>231</v>
      </c>
      <c r="G80">
        <v>4.6455945132107699</v>
      </c>
      <c r="H80">
        <v>1000000</v>
      </c>
      <c r="I80">
        <v>600</v>
      </c>
      <c r="J80">
        <f t="shared" si="3"/>
        <v>38.5</v>
      </c>
      <c r="K80">
        <f t="shared" si="4"/>
        <v>0.77426575220179494</v>
      </c>
      <c r="R80" s="15">
        <v>14</v>
      </c>
      <c r="S80" s="15">
        <v>4.6228921290000002</v>
      </c>
      <c r="T80" s="15">
        <v>234</v>
      </c>
      <c r="U80" s="15">
        <v>11.269310000000001</v>
      </c>
      <c r="V80" s="15">
        <v>2500000</v>
      </c>
      <c r="W80" s="15">
        <v>800</v>
      </c>
      <c r="Z80" s="15">
        <v>12</v>
      </c>
      <c r="AA80" s="15">
        <v>2.4616910000000001</v>
      </c>
      <c r="AB80" s="15">
        <v>400</v>
      </c>
      <c r="AC80" s="15">
        <v>12</v>
      </c>
      <c r="AD80" s="15">
        <v>2000000</v>
      </c>
      <c r="AE80" s="15">
        <v>600</v>
      </c>
    </row>
    <row r="81" spans="4:31" x14ac:dyDescent="0.25">
      <c r="D81">
        <v>14</v>
      </c>
      <c r="E81">
        <v>0</v>
      </c>
      <c r="F81">
        <v>240</v>
      </c>
      <c r="G81">
        <v>1</v>
      </c>
      <c r="H81">
        <v>1000000</v>
      </c>
      <c r="I81">
        <v>565</v>
      </c>
      <c r="J81">
        <f t="shared" si="3"/>
        <v>42.477876106194692</v>
      </c>
      <c r="K81">
        <f t="shared" si="4"/>
        <v>0.17699115044247787</v>
      </c>
      <c r="R81" s="15">
        <v>15</v>
      </c>
      <c r="S81" s="15">
        <v>4.7185767790000002</v>
      </c>
      <c r="T81" s="15">
        <v>238</v>
      </c>
      <c r="U81" s="15">
        <v>11.50332</v>
      </c>
      <c r="V81" s="15">
        <v>2500000</v>
      </c>
      <c r="W81" s="15">
        <v>800</v>
      </c>
      <c r="Z81" s="15">
        <v>13</v>
      </c>
      <c r="AA81" s="15">
        <v>2.548419</v>
      </c>
      <c r="AB81" s="15">
        <v>400</v>
      </c>
      <c r="AC81" s="15">
        <v>12</v>
      </c>
      <c r="AD81" s="15">
        <v>2000000</v>
      </c>
      <c r="AE81" s="15">
        <v>600</v>
      </c>
    </row>
    <row r="82" spans="4:31" x14ac:dyDescent="0.25">
      <c r="D82">
        <v>15</v>
      </c>
      <c r="E82">
        <v>0</v>
      </c>
      <c r="F82">
        <v>246</v>
      </c>
      <c r="G82">
        <v>1</v>
      </c>
      <c r="H82">
        <v>1000000</v>
      </c>
      <c r="I82">
        <v>548</v>
      </c>
      <c r="J82">
        <f t="shared" si="3"/>
        <v>44.89051094890511</v>
      </c>
      <c r="K82">
        <f t="shared" si="4"/>
        <v>0.18248175182481752</v>
      </c>
      <c r="R82" s="15">
        <v>16</v>
      </c>
      <c r="S82" s="15">
        <v>4.8116319609999998</v>
      </c>
      <c r="T82" s="15">
        <v>240</v>
      </c>
      <c r="U82" s="15">
        <v>11.410439999999999</v>
      </c>
      <c r="V82" s="15">
        <v>2500000</v>
      </c>
      <c r="W82" s="15">
        <v>800</v>
      </c>
      <c r="Z82" s="15">
        <v>14</v>
      </c>
      <c r="AA82" s="15">
        <v>2.6457739999999998</v>
      </c>
      <c r="AB82" s="15">
        <v>375</v>
      </c>
      <c r="AC82" s="15">
        <v>12</v>
      </c>
      <c r="AD82" s="15">
        <v>2000000</v>
      </c>
      <c r="AE82" s="15">
        <v>600</v>
      </c>
    </row>
    <row r="83" spans="4:31" x14ac:dyDescent="0.25">
      <c r="D83">
        <v>16</v>
      </c>
      <c r="E83">
        <v>0</v>
      </c>
      <c r="F83">
        <v>241</v>
      </c>
      <c r="G83">
        <v>1</v>
      </c>
      <c r="H83">
        <v>1000000</v>
      </c>
      <c r="I83">
        <v>558</v>
      </c>
      <c r="J83">
        <f t="shared" si="3"/>
        <v>43.189964157706093</v>
      </c>
      <c r="K83">
        <f t="shared" si="4"/>
        <v>0.17921146953405018</v>
      </c>
      <c r="R83" s="15">
        <v>17</v>
      </c>
      <c r="S83" s="15">
        <v>4.9018347120000003</v>
      </c>
      <c r="T83" s="15">
        <v>238</v>
      </c>
      <c r="U83" s="15">
        <v>11.684329999999999</v>
      </c>
      <c r="V83" s="15">
        <v>2500000</v>
      </c>
      <c r="W83" s="15">
        <v>800</v>
      </c>
      <c r="Z83" s="15">
        <v>15</v>
      </c>
      <c r="AA83" s="15">
        <v>2.7490869999999998</v>
      </c>
      <c r="AB83" s="15">
        <v>344</v>
      </c>
      <c r="AC83" s="15">
        <v>12</v>
      </c>
      <c r="AD83" s="15">
        <v>2000000</v>
      </c>
      <c r="AE83" s="15">
        <v>600</v>
      </c>
    </row>
    <row r="84" spans="4:31" x14ac:dyDescent="0.25">
      <c r="D84">
        <v>17</v>
      </c>
      <c r="E84">
        <v>6.5409397102743601E-3</v>
      </c>
      <c r="F84">
        <v>234</v>
      </c>
      <c r="G84">
        <v>1</v>
      </c>
      <c r="H84">
        <v>1000000</v>
      </c>
      <c r="I84">
        <v>565</v>
      </c>
      <c r="J84">
        <f t="shared" si="3"/>
        <v>41.415929203539825</v>
      </c>
      <c r="K84">
        <f t="shared" si="4"/>
        <v>0.17699115044247787</v>
      </c>
      <c r="R84" s="15">
        <v>18</v>
      </c>
      <c r="S84" s="15">
        <v>4.9889518080000004</v>
      </c>
      <c r="T84" s="15">
        <v>242</v>
      </c>
      <c r="U84" s="15">
        <v>12.343500000000001</v>
      </c>
      <c r="V84" s="15">
        <v>2500000</v>
      </c>
      <c r="W84" s="15">
        <v>800</v>
      </c>
      <c r="Z84" s="15">
        <v>16</v>
      </c>
      <c r="AA84" s="15">
        <v>2.8636949999999999</v>
      </c>
      <c r="AB84" s="15">
        <v>338</v>
      </c>
      <c r="AC84" s="15">
        <v>12</v>
      </c>
      <c r="AD84" s="15">
        <v>2000000</v>
      </c>
      <c r="AE84" s="15">
        <v>600</v>
      </c>
    </row>
    <row r="85" spans="4:31" x14ac:dyDescent="0.25">
      <c r="D85">
        <v>18</v>
      </c>
      <c r="E85">
        <v>2.4266374391778402E-2</v>
      </c>
      <c r="F85">
        <v>238</v>
      </c>
      <c r="G85">
        <v>1</v>
      </c>
      <c r="H85">
        <v>1000000</v>
      </c>
      <c r="I85">
        <v>565</v>
      </c>
      <c r="J85">
        <f t="shared" si="3"/>
        <v>42.123893805309734</v>
      </c>
      <c r="K85">
        <f t="shared" si="4"/>
        <v>0.17699115044247787</v>
      </c>
      <c r="R85" s="15">
        <v>19</v>
      </c>
      <c r="S85" s="15">
        <v>5.0816982260000003</v>
      </c>
      <c r="T85" s="15">
        <v>252</v>
      </c>
      <c r="U85" s="15">
        <v>12.39554</v>
      </c>
      <c r="V85" s="15">
        <v>2500000</v>
      </c>
      <c r="W85" s="15">
        <v>800</v>
      </c>
      <c r="Z85" s="15">
        <v>17</v>
      </c>
      <c r="AA85" s="15">
        <v>2.9775800000000001</v>
      </c>
      <c r="AB85" s="15">
        <v>330</v>
      </c>
      <c r="AC85" s="15">
        <v>12</v>
      </c>
      <c r="AD85" s="15">
        <v>2000000</v>
      </c>
      <c r="AE85" s="15">
        <v>600</v>
      </c>
    </row>
    <row r="86" spans="4:31" x14ac:dyDescent="0.25">
      <c r="D86">
        <v>19</v>
      </c>
      <c r="E86">
        <v>4.3304665635986499E-2</v>
      </c>
      <c r="F86">
        <v>235</v>
      </c>
      <c r="G86">
        <v>1</v>
      </c>
      <c r="H86">
        <v>1000000</v>
      </c>
      <c r="I86">
        <v>572</v>
      </c>
      <c r="J86">
        <f t="shared" si="3"/>
        <v>41.08391608391608</v>
      </c>
      <c r="K86">
        <f t="shared" si="4"/>
        <v>0.17482517482517482</v>
      </c>
      <c r="R86" s="15">
        <v>20</v>
      </c>
      <c r="S86" s="15">
        <v>5.1680213640000003</v>
      </c>
      <c r="T86" s="15">
        <v>254</v>
      </c>
      <c r="U86" s="15">
        <v>13.10167</v>
      </c>
      <c r="V86" s="15">
        <v>2500000</v>
      </c>
      <c r="W86" s="15">
        <v>800</v>
      </c>
      <c r="Z86" s="15">
        <v>18</v>
      </c>
      <c r="AA86" s="15">
        <v>3.0924580000000002</v>
      </c>
      <c r="AB86" s="15">
        <v>318</v>
      </c>
      <c r="AC86" s="15">
        <v>12</v>
      </c>
      <c r="AD86" s="15">
        <v>2000000</v>
      </c>
      <c r="AE86" s="15">
        <v>600</v>
      </c>
    </row>
    <row r="87" spans="4:31" x14ac:dyDescent="0.25">
      <c r="D87">
        <v>20</v>
      </c>
      <c r="E87">
        <v>6.45923563254691E-2</v>
      </c>
      <c r="F87">
        <v>237</v>
      </c>
      <c r="G87">
        <v>1</v>
      </c>
      <c r="H87">
        <v>1000000</v>
      </c>
      <c r="I87">
        <v>564</v>
      </c>
      <c r="J87">
        <f t="shared" si="3"/>
        <v>42.021276595744681</v>
      </c>
      <c r="K87">
        <f t="shared" si="4"/>
        <v>0.1773049645390071</v>
      </c>
      <c r="R87" s="15">
        <v>21</v>
      </c>
      <c r="S87" s="15">
        <v>5.2518516149999996</v>
      </c>
      <c r="T87" s="15">
        <v>245</v>
      </c>
      <c r="U87" s="15">
        <v>13.992990000000001</v>
      </c>
      <c r="V87" s="15">
        <v>2500000</v>
      </c>
      <c r="W87" s="15">
        <v>800</v>
      </c>
      <c r="Z87" s="15">
        <v>19</v>
      </c>
      <c r="AA87" s="15">
        <v>3.2029179999999999</v>
      </c>
      <c r="AB87" s="15">
        <v>311</v>
      </c>
      <c r="AC87" s="15">
        <v>12</v>
      </c>
      <c r="AD87" s="15">
        <v>2000000</v>
      </c>
      <c r="AE87" s="15">
        <v>600</v>
      </c>
    </row>
    <row r="88" spans="4:31" x14ac:dyDescent="0.25">
      <c r="D88">
        <v>21</v>
      </c>
      <c r="E88">
        <v>8.2347121101756904E-2</v>
      </c>
      <c r="F88">
        <v>230</v>
      </c>
      <c r="G88">
        <v>1</v>
      </c>
      <c r="H88">
        <v>1000000</v>
      </c>
      <c r="I88">
        <v>577</v>
      </c>
      <c r="J88">
        <f t="shared" si="3"/>
        <v>39.861351819757367</v>
      </c>
      <c r="K88">
        <f t="shared" si="4"/>
        <v>0.17331022530329288</v>
      </c>
      <c r="R88" s="15">
        <v>22</v>
      </c>
      <c r="S88" s="15">
        <v>5.3572010209999998</v>
      </c>
      <c r="T88" s="15">
        <v>277</v>
      </c>
      <c r="U88" s="15">
        <v>15</v>
      </c>
      <c r="V88" s="15">
        <v>2500000</v>
      </c>
      <c r="W88" s="15">
        <v>800</v>
      </c>
      <c r="Z88" s="15">
        <v>20</v>
      </c>
      <c r="AA88" s="15">
        <v>3.2959429999999998</v>
      </c>
      <c r="AB88" s="15">
        <v>304</v>
      </c>
      <c r="AC88" s="15">
        <v>12</v>
      </c>
      <c r="AD88" s="15">
        <v>2000000</v>
      </c>
      <c r="AE88" s="15">
        <v>600</v>
      </c>
    </row>
    <row r="89" spans="4:31" x14ac:dyDescent="0.25">
      <c r="D89">
        <v>22</v>
      </c>
      <c r="E89">
        <v>0.10188357393845</v>
      </c>
      <c r="F89">
        <v>228</v>
      </c>
      <c r="G89">
        <v>1</v>
      </c>
      <c r="H89">
        <v>1000000</v>
      </c>
      <c r="I89">
        <v>581</v>
      </c>
      <c r="J89">
        <f t="shared" si="3"/>
        <v>39.242685025817558</v>
      </c>
      <c r="K89">
        <f t="shared" si="4"/>
        <v>0.17211703958691912</v>
      </c>
      <c r="R89" s="15">
        <v>23</v>
      </c>
      <c r="S89" s="15">
        <v>5.4633603620000004</v>
      </c>
      <c r="T89" s="15">
        <v>281</v>
      </c>
      <c r="U89" s="15">
        <v>15</v>
      </c>
      <c r="V89" s="15">
        <v>2500000</v>
      </c>
      <c r="W89" s="15">
        <v>800</v>
      </c>
      <c r="Z89" s="15">
        <v>21</v>
      </c>
      <c r="AA89" s="15">
        <v>3.3703669999999999</v>
      </c>
      <c r="AB89" s="15">
        <v>296</v>
      </c>
      <c r="AC89" s="15">
        <v>12</v>
      </c>
      <c r="AD89" s="15">
        <v>2000000</v>
      </c>
      <c r="AE89" s="15">
        <v>600</v>
      </c>
    </row>
    <row r="90" spans="4:31" x14ac:dyDescent="0.25">
      <c r="D90">
        <v>23</v>
      </c>
      <c r="E90">
        <v>0.124724008223105</v>
      </c>
      <c r="F90">
        <v>233</v>
      </c>
      <c r="G90">
        <v>1</v>
      </c>
      <c r="H90">
        <v>1000000</v>
      </c>
      <c r="I90">
        <v>578</v>
      </c>
      <c r="J90">
        <f t="shared" si="3"/>
        <v>40.311418685121112</v>
      </c>
      <c r="K90">
        <f t="shared" si="4"/>
        <v>0.17301038062283738</v>
      </c>
      <c r="R90" s="15">
        <v>24</v>
      </c>
      <c r="S90" s="15">
        <v>5.56861023</v>
      </c>
      <c r="T90" s="15">
        <v>286</v>
      </c>
      <c r="U90" s="15">
        <v>15</v>
      </c>
      <c r="V90" s="15">
        <v>2500000</v>
      </c>
      <c r="W90" s="15">
        <v>800</v>
      </c>
      <c r="Z90" s="15">
        <v>22</v>
      </c>
      <c r="AA90" s="15">
        <v>3.4109029999999998</v>
      </c>
      <c r="AB90" s="15">
        <v>291</v>
      </c>
      <c r="AC90" s="15">
        <v>12</v>
      </c>
      <c r="AD90" s="15">
        <v>2000000</v>
      </c>
      <c r="AE90" s="15">
        <v>600</v>
      </c>
    </row>
    <row r="91" spans="4:31" x14ac:dyDescent="0.25">
      <c r="D91">
        <v>24</v>
      </c>
      <c r="E91">
        <v>0.146896694733928</v>
      </c>
      <c r="F91">
        <v>226</v>
      </c>
      <c r="G91">
        <v>1</v>
      </c>
      <c r="H91">
        <v>1000000</v>
      </c>
      <c r="I91">
        <v>587</v>
      </c>
      <c r="J91">
        <f t="shared" si="3"/>
        <v>38.500851788756393</v>
      </c>
      <c r="K91">
        <f t="shared" si="4"/>
        <v>0.17035775127768313</v>
      </c>
      <c r="R91" s="15">
        <v>25</v>
      </c>
      <c r="S91" s="15">
        <v>5.6652389830000001</v>
      </c>
      <c r="T91" s="15">
        <v>287</v>
      </c>
      <c r="U91" s="15">
        <v>15</v>
      </c>
      <c r="V91" s="15">
        <v>2500000</v>
      </c>
      <c r="W91" s="15">
        <v>800</v>
      </c>
      <c r="Z91" s="15">
        <v>23</v>
      </c>
      <c r="AA91" s="15">
        <v>3.442507</v>
      </c>
      <c r="AB91" s="15">
        <v>285</v>
      </c>
      <c r="AC91" s="15">
        <v>12</v>
      </c>
      <c r="AD91" s="15">
        <v>2000000</v>
      </c>
      <c r="AE91" s="15">
        <v>600</v>
      </c>
    </row>
    <row r="92" spans="4:31" x14ac:dyDescent="0.25">
      <c r="D92">
        <v>25</v>
      </c>
      <c r="E92">
        <v>0.16867684548967499</v>
      </c>
      <c r="F92">
        <v>231</v>
      </c>
      <c r="G92">
        <v>1</v>
      </c>
      <c r="H92">
        <v>1000000</v>
      </c>
      <c r="I92">
        <v>589</v>
      </c>
      <c r="J92">
        <f t="shared" si="3"/>
        <v>39.219015280135821</v>
      </c>
      <c r="K92">
        <f t="shared" si="4"/>
        <v>0.1697792869269949</v>
      </c>
      <c r="R92" s="15">
        <v>26</v>
      </c>
      <c r="S92" s="15">
        <v>5.759967252</v>
      </c>
      <c r="T92" s="15">
        <v>289</v>
      </c>
      <c r="U92" s="15">
        <v>15</v>
      </c>
      <c r="V92" s="15">
        <v>2500000</v>
      </c>
      <c r="W92" s="15">
        <v>800</v>
      </c>
      <c r="Z92" s="15">
        <v>24</v>
      </c>
      <c r="AA92" s="15">
        <v>3.4648119999999998</v>
      </c>
      <c r="AB92" s="15">
        <v>276</v>
      </c>
      <c r="AC92" s="15">
        <v>12</v>
      </c>
      <c r="AD92" s="15">
        <v>2000000</v>
      </c>
      <c r="AE92" s="15">
        <v>600</v>
      </c>
    </row>
    <row r="93" spans="4:31" x14ac:dyDescent="0.25">
      <c r="D93">
        <v>26</v>
      </c>
      <c r="E93">
        <v>0.192024697951381</v>
      </c>
      <c r="F93">
        <v>230</v>
      </c>
      <c r="G93">
        <v>1</v>
      </c>
      <c r="H93">
        <v>1000000</v>
      </c>
      <c r="I93">
        <v>600</v>
      </c>
      <c r="J93">
        <f t="shared" si="3"/>
        <v>38.333333333333336</v>
      </c>
      <c r="K93">
        <f t="shared" si="4"/>
        <v>0.16666666666666669</v>
      </c>
      <c r="R93" s="15">
        <v>27</v>
      </c>
      <c r="S93" s="15">
        <v>5.8510851129999999</v>
      </c>
      <c r="T93" s="15">
        <v>292</v>
      </c>
      <c r="U93" s="15">
        <v>15</v>
      </c>
      <c r="V93" s="15">
        <v>2500000</v>
      </c>
      <c r="W93" s="15">
        <v>800</v>
      </c>
      <c r="Z93" s="15">
        <v>25</v>
      </c>
      <c r="AA93" s="15">
        <v>3.4834900000000002</v>
      </c>
      <c r="AB93" s="15">
        <v>267</v>
      </c>
      <c r="AC93" s="15">
        <v>12</v>
      </c>
      <c r="AD93" s="15">
        <v>2000000</v>
      </c>
      <c r="AE93" s="15">
        <v>600</v>
      </c>
    </row>
    <row r="94" spans="4:31" x14ac:dyDescent="0.25">
      <c r="D94">
        <v>27</v>
      </c>
      <c r="E94">
        <v>0.214570193709647</v>
      </c>
      <c r="F94">
        <v>226</v>
      </c>
      <c r="G94">
        <v>1</v>
      </c>
      <c r="H94">
        <v>1000000</v>
      </c>
      <c r="I94">
        <v>600</v>
      </c>
      <c r="J94">
        <f t="shared" si="3"/>
        <v>37.666666666666664</v>
      </c>
      <c r="K94">
        <f t="shared" si="4"/>
        <v>0.16666666666666669</v>
      </c>
      <c r="Z94" s="15">
        <v>26</v>
      </c>
      <c r="AA94" s="15">
        <v>3.5001600000000002</v>
      </c>
      <c r="AB94" s="15">
        <v>253</v>
      </c>
      <c r="AC94" s="15">
        <v>12</v>
      </c>
      <c r="AD94" s="15">
        <v>2000000</v>
      </c>
      <c r="AE94" s="15">
        <v>600</v>
      </c>
    </row>
    <row r="95" spans="4:31" x14ac:dyDescent="0.25">
      <c r="D95">
        <v>28</v>
      </c>
      <c r="E95">
        <v>0.24245740550026099</v>
      </c>
      <c r="F95">
        <v>232</v>
      </c>
      <c r="G95">
        <v>1</v>
      </c>
      <c r="H95">
        <v>1000000</v>
      </c>
      <c r="I95">
        <v>600</v>
      </c>
      <c r="J95">
        <f t="shared" si="3"/>
        <v>38.666666666666664</v>
      </c>
      <c r="K95">
        <f t="shared" si="4"/>
        <v>0.16666666666666669</v>
      </c>
      <c r="Z95" s="15">
        <v>27</v>
      </c>
      <c r="AA95" s="15">
        <v>3.5188790000000001</v>
      </c>
      <c r="AB95" s="15">
        <v>239</v>
      </c>
      <c r="AC95" s="15">
        <v>12</v>
      </c>
      <c r="AD95" s="15">
        <v>2000000</v>
      </c>
      <c r="AE95" s="15">
        <v>600</v>
      </c>
    </row>
    <row r="96" spans="4:31" x14ac:dyDescent="0.25">
      <c r="D96">
        <v>29</v>
      </c>
      <c r="E96">
        <v>0.27024400757280698</v>
      </c>
      <c r="F96">
        <v>234</v>
      </c>
      <c r="G96">
        <v>1</v>
      </c>
      <c r="H96">
        <v>1000000</v>
      </c>
      <c r="I96">
        <v>600</v>
      </c>
      <c r="J96">
        <f t="shared" si="3"/>
        <v>39</v>
      </c>
      <c r="K96">
        <f t="shared" si="4"/>
        <v>0.16666666666666669</v>
      </c>
      <c r="Z96" s="18">
        <v>28</v>
      </c>
      <c r="AA96" s="18">
        <v>3.550224</v>
      </c>
      <c r="AB96" s="18">
        <v>223</v>
      </c>
      <c r="AC96" s="18">
        <v>12</v>
      </c>
      <c r="AD96" s="18">
        <v>2000000</v>
      </c>
      <c r="AE96" s="18">
        <v>600</v>
      </c>
    </row>
    <row r="100" spans="4:17" ht="15.75" thickBot="1" x14ac:dyDescent="0.3"/>
    <row r="101" spans="4:17" ht="15.75" thickBot="1" x14ac:dyDescent="0.3">
      <c r="E101" s="9" t="s">
        <v>24</v>
      </c>
      <c r="F101" s="11"/>
      <c r="L101" s="9" t="s">
        <v>27</v>
      </c>
      <c r="M101" s="16"/>
      <c r="N101" s="17"/>
    </row>
    <row r="102" spans="4:17" x14ac:dyDescent="0.25">
      <c r="D102" t="s">
        <v>7</v>
      </c>
      <c r="E102" t="s">
        <v>8</v>
      </c>
      <c r="F102" t="s">
        <v>25</v>
      </c>
      <c r="G102" t="s">
        <v>26</v>
      </c>
      <c r="H102" t="s">
        <v>11</v>
      </c>
      <c r="I102" t="s">
        <v>12</v>
      </c>
      <c r="L102" t="s">
        <v>7</v>
      </c>
      <c r="M102" t="s">
        <v>18</v>
      </c>
      <c r="N102" t="s">
        <v>25</v>
      </c>
      <c r="O102" t="s">
        <v>26</v>
      </c>
      <c r="P102" t="s">
        <v>11</v>
      </c>
      <c r="Q102" t="s">
        <v>12</v>
      </c>
    </row>
    <row r="103" spans="4:17" x14ac:dyDescent="0.25">
      <c r="D103">
        <v>0</v>
      </c>
      <c r="E103">
        <v>1.277936841</v>
      </c>
      <c r="F103">
        <v>9</v>
      </c>
      <c r="G103">
        <v>5.1440877010000001</v>
      </c>
      <c r="H103">
        <v>1000000</v>
      </c>
      <c r="I103">
        <v>400</v>
      </c>
      <c r="L103">
        <v>0</v>
      </c>
      <c r="M103">
        <v>0</v>
      </c>
      <c r="N103">
        <v>9</v>
      </c>
      <c r="O103">
        <v>11.11876773</v>
      </c>
      <c r="P103">
        <v>1217221</v>
      </c>
      <c r="Q103">
        <v>600</v>
      </c>
    </row>
    <row r="104" spans="4:17" x14ac:dyDescent="0.25">
      <c r="D104">
        <v>1</v>
      </c>
      <c r="E104">
        <v>1.317499733</v>
      </c>
      <c r="F104">
        <v>300</v>
      </c>
      <c r="G104">
        <v>2</v>
      </c>
      <c r="H104">
        <v>1000000</v>
      </c>
      <c r="I104">
        <v>400</v>
      </c>
      <c r="L104">
        <v>1</v>
      </c>
      <c r="M104">
        <v>0</v>
      </c>
      <c r="N104">
        <v>9</v>
      </c>
      <c r="O104">
        <v>10.6514677</v>
      </c>
      <c r="P104">
        <v>1231074</v>
      </c>
      <c r="Q104">
        <v>600</v>
      </c>
    </row>
    <row r="105" spans="4:17" x14ac:dyDescent="0.25">
      <c r="D105">
        <v>2</v>
      </c>
      <c r="E105">
        <v>1.409072538</v>
      </c>
      <c r="F105">
        <v>9</v>
      </c>
      <c r="G105">
        <v>5.6596056370000003</v>
      </c>
      <c r="H105">
        <v>1000000</v>
      </c>
      <c r="I105">
        <v>400</v>
      </c>
      <c r="L105">
        <v>2</v>
      </c>
      <c r="M105">
        <v>0</v>
      </c>
      <c r="N105">
        <v>9</v>
      </c>
      <c r="O105">
        <v>10.721767720000001</v>
      </c>
      <c r="P105">
        <v>1256986</v>
      </c>
      <c r="Q105">
        <v>600</v>
      </c>
    </row>
    <row r="106" spans="4:17" x14ac:dyDescent="0.25">
      <c r="D106">
        <v>3</v>
      </c>
      <c r="E106">
        <v>1.4640328410000001</v>
      </c>
      <c r="F106">
        <v>9</v>
      </c>
      <c r="G106">
        <v>5.8332336439999999</v>
      </c>
      <c r="H106">
        <v>1000000</v>
      </c>
      <c r="I106">
        <v>400</v>
      </c>
      <c r="L106">
        <v>3</v>
      </c>
      <c r="M106">
        <v>0</v>
      </c>
      <c r="N106">
        <v>9</v>
      </c>
      <c r="O106">
        <v>11.20639793</v>
      </c>
      <c r="P106">
        <v>1242274</v>
      </c>
      <c r="Q106">
        <v>600</v>
      </c>
    </row>
    <row r="107" spans="4:17" x14ac:dyDescent="0.25">
      <c r="D107">
        <v>4</v>
      </c>
      <c r="E107">
        <v>1.5143714420000001</v>
      </c>
      <c r="F107">
        <v>9</v>
      </c>
      <c r="G107">
        <v>5.6355826100000002</v>
      </c>
      <c r="H107">
        <v>1000000</v>
      </c>
      <c r="I107">
        <v>400</v>
      </c>
      <c r="L107">
        <v>4</v>
      </c>
      <c r="M107">
        <v>0</v>
      </c>
      <c r="N107">
        <v>9</v>
      </c>
      <c r="O107">
        <v>12</v>
      </c>
      <c r="P107">
        <v>1282847</v>
      </c>
      <c r="Q107">
        <v>600</v>
      </c>
    </row>
    <row r="108" spans="4:17" x14ac:dyDescent="0.25">
      <c r="D108">
        <v>5</v>
      </c>
      <c r="E108">
        <v>1.561760464</v>
      </c>
      <c r="F108">
        <v>9</v>
      </c>
      <c r="G108">
        <v>5.8937554820000004</v>
      </c>
      <c r="H108">
        <v>1000000</v>
      </c>
      <c r="I108">
        <v>400</v>
      </c>
      <c r="L108">
        <v>5</v>
      </c>
      <c r="M108">
        <v>0</v>
      </c>
      <c r="N108">
        <v>9</v>
      </c>
      <c r="O108">
        <v>12</v>
      </c>
      <c r="P108">
        <v>1288037</v>
      </c>
      <c r="Q108">
        <v>600</v>
      </c>
    </row>
    <row r="109" spans="4:17" x14ac:dyDescent="0.25">
      <c r="D109">
        <v>6</v>
      </c>
      <c r="E109">
        <v>1.6169347439999999</v>
      </c>
      <c r="F109">
        <v>9</v>
      </c>
      <c r="G109">
        <v>5.2179687240000003</v>
      </c>
      <c r="H109">
        <v>1000000</v>
      </c>
      <c r="I109">
        <v>400</v>
      </c>
      <c r="L109">
        <v>6</v>
      </c>
      <c r="M109">
        <v>0</v>
      </c>
      <c r="N109">
        <v>9</v>
      </c>
      <c r="O109">
        <v>12</v>
      </c>
      <c r="P109">
        <v>1312313</v>
      </c>
      <c r="Q109">
        <v>600</v>
      </c>
    </row>
    <row r="110" spans="4:17" x14ac:dyDescent="0.25">
      <c r="D110">
        <v>7</v>
      </c>
      <c r="E110">
        <v>1.6706881280000001</v>
      </c>
      <c r="F110">
        <v>9</v>
      </c>
      <c r="G110">
        <v>4.975543075</v>
      </c>
      <c r="H110">
        <v>1000000</v>
      </c>
      <c r="I110">
        <v>400</v>
      </c>
      <c r="L110">
        <v>7</v>
      </c>
      <c r="M110">
        <v>0</v>
      </c>
      <c r="N110">
        <v>9</v>
      </c>
      <c r="O110">
        <v>12</v>
      </c>
      <c r="P110">
        <v>1314416</v>
      </c>
      <c r="Q110">
        <v>600</v>
      </c>
    </row>
    <row r="111" spans="4:17" x14ac:dyDescent="0.25">
      <c r="D111">
        <v>8</v>
      </c>
      <c r="E111">
        <v>1.7202209980000001</v>
      </c>
      <c r="F111">
        <v>9</v>
      </c>
      <c r="G111">
        <v>4.9420555410000002</v>
      </c>
      <c r="H111">
        <v>1000000</v>
      </c>
      <c r="I111">
        <v>400</v>
      </c>
      <c r="L111">
        <v>8</v>
      </c>
      <c r="M111">
        <v>0</v>
      </c>
      <c r="N111">
        <v>9</v>
      </c>
      <c r="O111">
        <v>12</v>
      </c>
      <c r="P111">
        <v>1305192</v>
      </c>
      <c r="Q111">
        <v>600</v>
      </c>
    </row>
    <row r="112" spans="4:17" x14ac:dyDescent="0.25">
      <c r="D112">
        <v>9</v>
      </c>
      <c r="E112">
        <v>1.7656812129999999</v>
      </c>
      <c r="F112">
        <v>9</v>
      </c>
      <c r="G112">
        <v>5.1709464829999998</v>
      </c>
      <c r="H112">
        <v>1000000</v>
      </c>
      <c r="I112">
        <v>400</v>
      </c>
      <c r="L112">
        <v>9</v>
      </c>
      <c r="M112">
        <v>0</v>
      </c>
      <c r="N112">
        <v>9</v>
      </c>
      <c r="O112">
        <v>12</v>
      </c>
      <c r="P112">
        <v>1292116</v>
      </c>
      <c r="Q112">
        <v>600</v>
      </c>
    </row>
    <row r="113" spans="4:17" x14ac:dyDescent="0.25">
      <c r="D113">
        <v>10</v>
      </c>
      <c r="E113">
        <v>1.811461786</v>
      </c>
      <c r="F113">
        <v>9</v>
      </c>
      <c r="G113">
        <v>5.415155221</v>
      </c>
      <c r="H113">
        <v>1000000</v>
      </c>
      <c r="I113">
        <v>400</v>
      </c>
      <c r="L113">
        <v>10</v>
      </c>
      <c r="M113">
        <v>0</v>
      </c>
      <c r="N113">
        <v>9</v>
      </c>
      <c r="O113">
        <v>12</v>
      </c>
      <c r="P113">
        <v>1276995</v>
      </c>
      <c r="Q113">
        <v>600</v>
      </c>
    </row>
    <row r="114" spans="4:17" x14ac:dyDescent="0.25">
      <c r="D114">
        <v>11</v>
      </c>
      <c r="E114">
        <v>1.8555456020000001</v>
      </c>
      <c r="F114">
        <v>9</v>
      </c>
      <c r="G114">
        <v>5.3569250300000002</v>
      </c>
      <c r="H114">
        <v>1000000</v>
      </c>
      <c r="I114">
        <v>400</v>
      </c>
      <c r="L114">
        <v>11</v>
      </c>
      <c r="M114">
        <v>0</v>
      </c>
      <c r="N114">
        <v>9</v>
      </c>
      <c r="O114">
        <v>12</v>
      </c>
      <c r="P114">
        <v>1293465</v>
      </c>
      <c r="Q114">
        <v>600</v>
      </c>
    </row>
    <row r="115" spans="4:17" x14ac:dyDescent="0.25">
      <c r="D115">
        <v>12</v>
      </c>
      <c r="E115">
        <v>1.8954107490000001</v>
      </c>
      <c r="F115">
        <v>9</v>
      </c>
      <c r="G115">
        <v>5.146746083</v>
      </c>
      <c r="H115">
        <v>1000000</v>
      </c>
      <c r="I115">
        <v>400</v>
      </c>
      <c r="L115">
        <v>12</v>
      </c>
      <c r="M115">
        <v>0</v>
      </c>
      <c r="N115">
        <v>9</v>
      </c>
      <c r="O115">
        <v>12</v>
      </c>
      <c r="P115">
        <v>1336364</v>
      </c>
      <c r="Q115">
        <v>600</v>
      </c>
    </row>
    <row r="116" spans="4:17" x14ac:dyDescent="0.25">
      <c r="D116">
        <v>13</v>
      </c>
      <c r="E116">
        <v>1.9326332749999999</v>
      </c>
      <c r="F116">
        <v>9</v>
      </c>
      <c r="G116">
        <v>5.1431164569999996</v>
      </c>
      <c r="H116">
        <v>1000000</v>
      </c>
      <c r="I116">
        <v>400</v>
      </c>
      <c r="L116">
        <v>13</v>
      </c>
      <c r="M116">
        <v>0</v>
      </c>
      <c r="N116">
        <v>9</v>
      </c>
      <c r="O116">
        <v>12</v>
      </c>
      <c r="P116">
        <v>1337761</v>
      </c>
      <c r="Q116">
        <v>600</v>
      </c>
    </row>
    <row r="117" spans="4:17" x14ac:dyDescent="0.25">
      <c r="D117">
        <v>14</v>
      </c>
      <c r="E117">
        <v>1.9650374340000001</v>
      </c>
      <c r="F117">
        <v>9</v>
      </c>
      <c r="G117">
        <v>3.846156744</v>
      </c>
      <c r="H117">
        <v>1000000</v>
      </c>
      <c r="I117">
        <v>400</v>
      </c>
      <c r="L117">
        <v>14</v>
      </c>
      <c r="M117">
        <v>0</v>
      </c>
      <c r="N117">
        <v>9</v>
      </c>
      <c r="O117">
        <v>12</v>
      </c>
      <c r="P117">
        <v>1337768</v>
      </c>
      <c r="Q117">
        <v>600</v>
      </c>
    </row>
    <row r="118" spans="4:17" x14ac:dyDescent="0.25">
      <c r="D118">
        <v>15</v>
      </c>
      <c r="E118">
        <v>1.9801850249999999</v>
      </c>
      <c r="F118">
        <v>9</v>
      </c>
      <c r="G118">
        <v>2</v>
      </c>
      <c r="H118">
        <v>1000000</v>
      </c>
      <c r="I118">
        <v>400</v>
      </c>
      <c r="L118">
        <v>15</v>
      </c>
      <c r="M118">
        <v>0</v>
      </c>
      <c r="N118">
        <v>9</v>
      </c>
      <c r="O118">
        <v>12</v>
      </c>
      <c r="P118">
        <v>1348426</v>
      </c>
      <c r="Q118">
        <v>600</v>
      </c>
    </row>
    <row r="119" spans="4:17" x14ac:dyDescent="0.25">
      <c r="D119">
        <v>16</v>
      </c>
      <c r="E119">
        <v>2.0257274390000002</v>
      </c>
      <c r="F119">
        <v>9</v>
      </c>
      <c r="G119">
        <v>2</v>
      </c>
      <c r="H119">
        <v>1000000</v>
      </c>
      <c r="I119">
        <v>400</v>
      </c>
      <c r="L119">
        <v>16</v>
      </c>
      <c r="M119">
        <v>0</v>
      </c>
      <c r="N119">
        <v>9</v>
      </c>
      <c r="O119">
        <v>12</v>
      </c>
      <c r="P119">
        <v>1352560</v>
      </c>
      <c r="Q119">
        <v>600</v>
      </c>
    </row>
    <row r="120" spans="4:17" x14ac:dyDescent="0.25">
      <c r="D120">
        <v>17</v>
      </c>
      <c r="E120">
        <v>2.064739442</v>
      </c>
      <c r="F120">
        <v>9</v>
      </c>
      <c r="G120">
        <v>2</v>
      </c>
      <c r="H120">
        <v>1000000</v>
      </c>
      <c r="I120">
        <v>400</v>
      </c>
      <c r="L120">
        <v>17</v>
      </c>
      <c r="M120">
        <v>0</v>
      </c>
      <c r="N120">
        <v>9</v>
      </c>
      <c r="O120">
        <v>12</v>
      </c>
      <c r="P120">
        <v>1354779</v>
      </c>
      <c r="Q120">
        <v>600</v>
      </c>
    </row>
    <row r="121" spans="4:17" x14ac:dyDescent="0.25">
      <c r="D121">
        <v>18</v>
      </c>
      <c r="E121">
        <v>2.1189808829999999</v>
      </c>
      <c r="F121">
        <v>9</v>
      </c>
      <c r="G121">
        <v>3.3826215230000001</v>
      </c>
      <c r="H121">
        <v>1000000</v>
      </c>
      <c r="I121">
        <v>400</v>
      </c>
      <c r="L121">
        <v>18</v>
      </c>
      <c r="M121">
        <v>0</v>
      </c>
      <c r="N121">
        <v>9</v>
      </c>
      <c r="O121">
        <v>12</v>
      </c>
      <c r="P121">
        <v>1362210</v>
      </c>
      <c r="Q121">
        <v>600</v>
      </c>
    </row>
    <row r="122" spans="4:17" x14ac:dyDescent="0.25">
      <c r="D122">
        <v>19</v>
      </c>
      <c r="E122">
        <v>2.1187113599999998</v>
      </c>
      <c r="F122">
        <v>9</v>
      </c>
      <c r="G122">
        <v>2</v>
      </c>
      <c r="H122">
        <v>1000000</v>
      </c>
      <c r="I122">
        <v>400</v>
      </c>
      <c r="L122">
        <v>19</v>
      </c>
      <c r="M122">
        <v>0</v>
      </c>
      <c r="N122">
        <v>9</v>
      </c>
      <c r="O122">
        <v>12</v>
      </c>
      <c r="P122">
        <v>1408539</v>
      </c>
      <c r="Q122">
        <v>600</v>
      </c>
    </row>
    <row r="123" spans="4:17" x14ac:dyDescent="0.25">
      <c r="D123">
        <v>20</v>
      </c>
      <c r="E123">
        <v>2.140859651</v>
      </c>
      <c r="F123">
        <v>9</v>
      </c>
      <c r="G123">
        <v>2</v>
      </c>
      <c r="H123">
        <v>1000000</v>
      </c>
      <c r="I123">
        <v>400</v>
      </c>
      <c r="L123">
        <v>20</v>
      </c>
      <c r="M123">
        <v>0</v>
      </c>
      <c r="N123">
        <v>9</v>
      </c>
      <c r="O123">
        <v>12</v>
      </c>
      <c r="P123">
        <v>1361564</v>
      </c>
      <c r="Q123">
        <v>600</v>
      </c>
    </row>
    <row r="124" spans="4:17" x14ac:dyDescent="0.25">
      <c r="D124">
        <v>21</v>
      </c>
      <c r="E124">
        <v>2.1502195660000001</v>
      </c>
      <c r="F124">
        <v>9</v>
      </c>
      <c r="G124">
        <v>2</v>
      </c>
      <c r="H124">
        <v>1000000</v>
      </c>
      <c r="I124">
        <v>400</v>
      </c>
      <c r="L124">
        <v>21</v>
      </c>
      <c r="M124">
        <v>0</v>
      </c>
      <c r="N124">
        <v>9</v>
      </c>
      <c r="O124">
        <v>12</v>
      </c>
      <c r="P124">
        <v>1370076</v>
      </c>
      <c r="Q124">
        <v>600</v>
      </c>
    </row>
    <row r="125" spans="4:17" x14ac:dyDescent="0.25">
      <c r="D125">
        <v>22</v>
      </c>
      <c r="E125">
        <v>2.1426493670000002</v>
      </c>
      <c r="F125">
        <v>9</v>
      </c>
      <c r="G125">
        <v>11.136413879999999</v>
      </c>
      <c r="H125">
        <v>1000000</v>
      </c>
      <c r="I125">
        <v>400</v>
      </c>
      <c r="L125">
        <v>22</v>
      </c>
      <c r="M125">
        <v>0</v>
      </c>
      <c r="N125">
        <v>9</v>
      </c>
      <c r="O125">
        <v>12</v>
      </c>
      <c r="P125">
        <v>1328757</v>
      </c>
      <c r="Q125">
        <v>600</v>
      </c>
    </row>
    <row r="126" spans="4:17" x14ac:dyDescent="0.25">
      <c r="D126">
        <v>23</v>
      </c>
      <c r="E126">
        <v>2.170502752</v>
      </c>
      <c r="F126">
        <v>9</v>
      </c>
      <c r="G126">
        <v>12</v>
      </c>
      <c r="H126">
        <v>1000000</v>
      </c>
      <c r="I126">
        <v>400</v>
      </c>
      <c r="L126">
        <v>23</v>
      </c>
      <c r="M126">
        <v>2.5662431999999999E-2</v>
      </c>
      <c r="N126">
        <v>9</v>
      </c>
      <c r="O126">
        <v>12</v>
      </c>
      <c r="P126">
        <v>1322522</v>
      </c>
      <c r="Q126">
        <v>600</v>
      </c>
    </row>
    <row r="127" spans="4:17" x14ac:dyDescent="0.25">
      <c r="D127">
        <v>24</v>
      </c>
      <c r="E127">
        <v>2.1987423169999998</v>
      </c>
      <c r="F127">
        <v>9</v>
      </c>
      <c r="G127">
        <v>12</v>
      </c>
      <c r="H127">
        <v>1000000</v>
      </c>
      <c r="I127">
        <v>400</v>
      </c>
      <c r="L127">
        <v>24</v>
      </c>
      <c r="M127">
        <v>5.9334865000000001E-2</v>
      </c>
      <c r="N127">
        <v>9</v>
      </c>
      <c r="O127">
        <v>12</v>
      </c>
      <c r="P127">
        <v>1276733</v>
      </c>
      <c r="Q127">
        <v>600</v>
      </c>
    </row>
    <row r="128" spans="4:17" x14ac:dyDescent="0.25">
      <c r="D128">
        <v>25</v>
      </c>
      <c r="E128">
        <v>2.2275372259999999</v>
      </c>
      <c r="F128">
        <v>9</v>
      </c>
      <c r="G128">
        <v>12</v>
      </c>
      <c r="H128">
        <v>1000000</v>
      </c>
      <c r="I128">
        <v>400</v>
      </c>
      <c r="L128">
        <v>25</v>
      </c>
      <c r="M128">
        <v>9.4108262999999998E-2</v>
      </c>
      <c r="N128">
        <v>9</v>
      </c>
      <c r="O128">
        <v>12</v>
      </c>
      <c r="P128">
        <v>1256345</v>
      </c>
      <c r="Q128">
        <v>600</v>
      </c>
    </row>
    <row r="129" spans="4:17" x14ac:dyDescent="0.25">
      <c r="D129">
        <v>26</v>
      </c>
      <c r="E129">
        <v>2.258830836</v>
      </c>
      <c r="F129">
        <v>300</v>
      </c>
      <c r="G129">
        <v>2</v>
      </c>
      <c r="H129">
        <v>1000000</v>
      </c>
      <c r="I129">
        <v>400</v>
      </c>
      <c r="L129">
        <v>26</v>
      </c>
      <c r="M129">
        <v>0.12826928600000001</v>
      </c>
      <c r="N129">
        <v>9</v>
      </c>
      <c r="O129">
        <v>12</v>
      </c>
      <c r="P129">
        <v>1227317</v>
      </c>
      <c r="Q129">
        <v>600</v>
      </c>
    </row>
    <row r="130" spans="4:17" x14ac:dyDescent="0.25">
      <c r="D130">
        <v>27</v>
      </c>
      <c r="E130">
        <v>2.2925839190000001</v>
      </c>
      <c r="F130">
        <v>300</v>
      </c>
      <c r="G130">
        <v>2</v>
      </c>
      <c r="H130">
        <v>1000000</v>
      </c>
      <c r="I130">
        <v>400</v>
      </c>
      <c r="L130">
        <v>27</v>
      </c>
      <c r="M130">
        <v>0.16280894900000001</v>
      </c>
      <c r="N130">
        <v>9</v>
      </c>
      <c r="O130">
        <v>12</v>
      </c>
      <c r="P130">
        <v>1232331</v>
      </c>
      <c r="Q130">
        <v>600</v>
      </c>
    </row>
    <row r="131" spans="4:17" x14ac:dyDescent="0.25">
      <c r="D131">
        <v>28</v>
      </c>
      <c r="E131">
        <v>2.3263370010000002</v>
      </c>
      <c r="F131">
        <v>300</v>
      </c>
      <c r="G131">
        <v>2</v>
      </c>
      <c r="H131">
        <v>1000000</v>
      </c>
      <c r="I131">
        <v>400</v>
      </c>
      <c r="L131">
        <v>28</v>
      </c>
      <c r="M131">
        <v>0.197298733</v>
      </c>
      <c r="N131">
        <v>9</v>
      </c>
      <c r="O131">
        <v>12</v>
      </c>
      <c r="P131">
        <v>1225589</v>
      </c>
      <c r="Q131">
        <v>600</v>
      </c>
    </row>
    <row r="132" spans="4:17" x14ac:dyDescent="0.25">
      <c r="D132">
        <v>29</v>
      </c>
      <c r="E132">
        <v>2.3588655599999999</v>
      </c>
      <c r="F132">
        <v>300</v>
      </c>
      <c r="G132">
        <v>2</v>
      </c>
      <c r="H132">
        <v>1000000</v>
      </c>
      <c r="I132">
        <v>400</v>
      </c>
      <c r="L132">
        <v>29</v>
      </c>
      <c r="M132">
        <v>0.232345945</v>
      </c>
      <c r="N132">
        <v>9</v>
      </c>
      <c r="O132">
        <v>12</v>
      </c>
      <c r="P132">
        <v>1238409</v>
      </c>
      <c r="Q132">
        <v>600</v>
      </c>
    </row>
  </sheetData>
  <mergeCells count="3">
    <mergeCell ref="B2:E2"/>
    <mergeCell ref="G2:J2"/>
    <mergeCell ref="L2:O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10A3-E5B2-4771-BB12-1278915840D6}">
  <dimension ref="A1"/>
  <sheetViews>
    <sheetView zoomScale="115" zoomScaleNormal="115" workbookViewId="0">
      <selection activeCell="V7" sqref="V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PICET 2025</vt:lpstr>
      <vt:lpstr>Suction_only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Mugisha Enoch</cp:lastModifiedBy>
  <dcterms:created xsi:type="dcterms:W3CDTF">2025-02-26T17:43:25Z</dcterms:created>
  <dcterms:modified xsi:type="dcterms:W3CDTF">2025-10-11T04:16:22Z</dcterms:modified>
</cp:coreProperties>
</file>