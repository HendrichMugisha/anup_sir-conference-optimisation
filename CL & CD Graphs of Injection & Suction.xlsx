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asus\OneDrive\Desktop\AERO ORGANISED\MY WORK, PROJECTS ETC\RESEARCH &amp; PATENTS\ANUP SIR\Optimising_conference_data\"/>
    </mc:Choice>
  </mc:AlternateContent>
  <xr:revisionPtr revIDLastSave="0" documentId="13_ncr:1_{191C750A-457F-4825-AD64-D9D8BED37E8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ICET 2025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7" i="5" l="1"/>
  <c r="O6" i="5"/>
  <c r="O7" i="5"/>
  <c r="O8" i="5"/>
  <c r="O9" i="5"/>
  <c r="O10" i="5"/>
  <c r="O11" i="5"/>
  <c r="O12" i="5"/>
  <c r="O13" i="5"/>
  <c r="O14" i="5"/>
  <c r="O15" i="5"/>
  <c r="O16" i="5"/>
  <c r="O5" i="5"/>
  <c r="E14" i="5" l="1"/>
  <c r="E13" i="5"/>
  <c r="E12" i="5"/>
  <c r="E11" i="5"/>
  <c r="E10" i="5"/>
  <c r="E9" i="5"/>
  <c r="E8" i="5"/>
  <c r="E7" i="5"/>
  <c r="E6" i="5"/>
  <c r="E5" i="5"/>
  <c r="J6" i="5" l="1"/>
  <c r="J7" i="5"/>
  <c r="J8" i="5"/>
  <c r="J9" i="5"/>
  <c r="J10" i="5"/>
  <c r="J11" i="5"/>
  <c r="J12" i="5"/>
  <c r="J13" i="5"/>
  <c r="J14" i="5"/>
  <c r="J15" i="5"/>
  <c r="J16" i="5"/>
  <c r="J17" i="5"/>
  <c r="J5" i="5"/>
</calcChain>
</file>

<file path=xl/sharedStrings.xml><?xml version="1.0" encoding="utf-8"?>
<sst xmlns="http://schemas.openxmlformats.org/spreadsheetml/2006/main" count="37" uniqueCount="17">
  <si>
    <t>AOA</t>
  </si>
  <si>
    <t>CL</t>
  </si>
  <si>
    <t>CD</t>
  </si>
  <si>
    <t>CL/CD</t>
  </si>
  <si>
    <t>Suction at 50% C</t>
  </si>
  <si>
    <t xml:space="preserve">Injection at 50% C </t>
  </si>
  <si>
    <t>Baseline</t>
  </si>
  <si>
    <t>aoa</t>
  </si>
  <si>
    <t>optimised_cl</t>
  </si>
  <si>
    <t>optimal_suction_loc</t>
  </si>
  <si>
    <t>optimal_suction_slot_size</t>
  </si>
  <si>
    <t>re_values</t>
  </si>
  <si>
    <t>chord_length</t>
  </si>
  <si>
    <t>For graph plotting</t>
  </si>
  <si>
    <t>Optimised Suction # 1</t>
  </si>
  <si>
    <t>optimisation + stabilisation</t>
  </si>
  <si>
    <t>Calculated_suction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</si>
</sst>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2" xfId="0" applyFont="1" applyBorder="1"/>
    <xf numFmtId="0" fontId="1" fillId="0" borderId="0" xfId="0" applyFont="1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3" xfId="0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CL vs AOA</a:t>
            </a:r>
            <a:endParaRPr lang="en-IN" baseline="0"/>
          </a:p>
          <a:p>
            <a:pPr>
              <a:defRPr/>
            </a:pPr>
            <a:endParaRPr lang="en-IN"/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Baseline</c:v>
          </c:tx>
          <c:xVal>
            <c:numRef>
              <c:f>'PICET 2025'!$B$5:$B$14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13</c:v>
                </c:pt>
                <c:pt idx="7">
                  <c:v>15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'PICET 2025'!$C$5:$C$14</c:f>
              <c:numCache>
                <c:formatCode>General</c:formatCode>
                <c:ptCount val="10"/>
                <c:pt idx="0">
                  <c:v>0.15</c:v>
                </c:pt>
                <c:pt idx="1">
                  <c:v>0.35</c:v>
                </c:pt>
                <c:pt idx="2">
                  <c:v>0.57999999999999996</c:v>
                </c:pt>
                <c:pt idx="3">
                  <c:v>0.68</c:v>
                </c:pt>
                <c:pt idx="4">
                  <c:v>0.82</c:v>
                </c:pt>
                <c:pt idx="5">
                  <c:v>1</c:v>
                </c:pt>
                <c:pt idx="6">
                  <c:v>1.111</c:v>
                </c:pt>
                <c:pt idx="7">
                  <c:v>1.1879999999999999</c:v>
                </c:pt>
                <c:pt idx="8">
                  <c:v>1.18</c:v>
                </c:pt>
                <c:pt idx="9">
                  <c:v>1.1100000000000001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07-49D6-A16C-78578E81DBFD}"/>
            </c:ext>
          </c:extLst>
        </c:ser>
        <c:ser>
          <c:idx val="1"/>
          <c:order val="1"/>
          <c:tx>
            <c:v>Injection at 50% C</c:v>
          </c:tx>
          <c:xVal>
            <c:numRef>
              <c:f>'PICET 2025'!$G$5:$G$17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2025'!$H$5:$H$17</c:f>
              <c:numCache>
                <c:formatCode>General</c:formatCode>
                <c:ptCount val="13"/>
                <c:pt idx="0">
                  <c:v>0.35780000000000001</c:v>
                </c:pt>
                <c:pt idx="1">
                  <c:v>0.51119999999999999</c:v>
                </c:pt>
                <c:pt idx="2">
                  <c:v>0.74170000000000003</c:v>
                </c:pt>
                <c:pt idx="3">
                  <c:v>0.91910000000000003</c:v>
                </c:pt>
                <c:pt idx="4">
                  <c:v>1.0267999999999999</c:v>
                </c:pt>
                <c:pt idx="5">
                  <c:v>1.1634</c:v>
                </c:pt>
                <c:pt idx="6">
                  <c:v>1.3983000000000001</c:v>
                </c:pt>
                <c:pt idx="7">
                  <c:v>1.51</c:v>
                </c:pt>
                <c:pt idx="8">
                  <c:v>1.6422000000000001</c:v>
                </c:pt>
                <c:pt idx="9">
                  <c:v>1.7</c:v>
                </c:pt>
                <c:pt idx="10">
                  <c:v>1.7493000000000001</c:v>
                </c:pt>
                <c:pt idx="11">
                  <c:v>1.7793000000000001</c:v>
                </c:pt>
                <c:pt idx="12">
                  <c:v>1.6508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07-49D6-A16C-78578E81DBFD}"/>
            </c:ext>
          </c:extLst>
        </c:ser>
        <c:ser>
          <c:idx val="2"/>
          <c:order val="2"/>
          <c:tx>
            <c:v>Suction at 50% C</c:v>
          </c:tx>
          <c:xVal>
            <c:numRef>
              <c:f>'PICET 2025'!$L$5:$L$17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2025'!$M$5:$M$17</c:f>
              <c:numCache>
                <c:formatCode>General</c:formatCode>
                <c:ptCount val="13"/>
                <c:pt idx="0">
                  <c:v>0.6956</c:v>
                </c:pt>
                <c:pt idx="1">
                  <c:v>1.0224</c:v>
                </c:pt>
                <c:pt idx="2">
                  <c:v>1.4434</c:v>
                </c:pt>
                <c:pt idx="3">
                  <c:v>1.7982</c:v>
                </c:pt>
                <c:pt idx="4">
                  <c:v>2.0535999999999999</c:v>
                </c:pt>
                <c:pt idx="5">
                  <c:v>2.3268</c:v>
                </c:pt>
                <c:pt idx="6">
                  <c:v>2.6966000000000001</c:v>
                </c:pt>
                <c:pt idx="7">
                  <c:v>3.02</c:v>
                </c:pt>
                <c:pt idx="8">
                  <c:v>3.2844000000000002</c:v>
                </c:pt>
                <c:pt idx="9">
                  <c:v>3.4</c:v>
                </c:pt>
                <c:pt idx="10">
                  <c:v>3.4986000000000002</c:v>
                </c:pt>
                <c:pt idx="11">
                  <c:v>3.5586000000000002</c:v>
                </c:pt>
                <c:pt idx="12">
                  <c:v>3.3016000000000001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507-49D6-A16C-78578E81D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121152"/>
        <c:axId val="89123072"/>
      </c:scatterChart>
      <c:valAx>
        <c:axId val="89121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AOA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89123072"/>
        <c:crosses val="autoZero"/>
        <c:crossBetween val="midCat"/>
      </c:valAx>
      <c:valAx>
        <c:axId val="89123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8912115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CD vs AOA 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Baseline</c:v>
          </c:tx>
          <c:xVal>
            <c:numRef>
              <c:f>'PICET 2025'!$B$5:$B$14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13</c:v>
                </c:pt>
                <c:pt idx="7">
                  <c:v>15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'PICET 2025'!$D$5:$D$14</c:f>
              <c:numCache>
                <c:formatCode>General</c:formatCode>
                <c:ptCount val="10"/>
                <c:pt idx="0">
                  <c:v>7.0000000000000001E-3</c:v>
                </c:pt>
                <c:pt idx="1">
                  <c:v>8.9999999999999993E-3</c:v>
                </c:pt>
                <c:pt idx="2">
                  <c:v>1.0999999999999999E-2</c:v>
                </c:pt>
                <c:pt idx="3">
                  <c:v>1.2200000000000001E-2</c:v>
                </c:pt>
                <c:pt idx="4">
                  <c:v>1.4999999999999999E-2</c:v>
                </c:pt>
                <c:pt idx="5">
                  <c:v>0.02</c:v>
                </c:pt>
                <c:pt idx="6">
                  <c:v>4.9000000000000002E-2</c:v>
                </c:pt>
                <c:pt idx="7">
                  <c:v>6.5000000000000002E-2</c:v>
                </c:pt>
                <c:pt idx="8">
                  <c:v>0.1</c:v>
                </c:pt>
                <c:pt idx="9">
                  <c:v>0.14499999999999999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C0-4E2C-8B5A-533DAFC9D93F}"/>
            </c:ext>
          </c:extLst>
        </c:ser>
        <c:ser>
          <c:idx val="1"/>
          <c:order val="1"/>
          <c:tx>
            <c:v>Injection at 50% C</c:v>
          </c:tx>
          <c:xVal>
            <c:numRef>
              <c:f>'PICET 2025'!$G$5:$G$17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2025'!$I$5:$I$17</c:f>
              <c:numCache>
                <c:formatCode>General</c:formatCode>
                <c:ptCount val="13"/>
                <c:pt idx="0">
                  <c:v>0.16259999999999999</c:v>
                </c:pt>
                <c:pt idx="1">
                  <c:v>0.18279999999999999</c:v>
                </c:pt>
                <c:pt idx="2">
                  <c:v>0.21590000000000001</c:v>
                </c:pt>
                <c:pt idx="3">
                  <c:v>0.25690000000000002</c:v>
                </c:pt>
                <c:pt idx="4">
                  <c:v>0.29759999999999998</c:v>
                </c:pt>
                <c:pt idx="5">
                  <c:v>0.35720000000000002</c:v>
                </c:pt>
                <c:pt idx="6">
                  <c:v>0.50760000000000005</c:v>
                </c:pt>
                <c:pt idx="7">
                  <c:v>0.64339999999999997</c:v>
                </c:pt>
                <c:pt idx="8">
                  <c:v>0.79090000000000005</c:v>
                </c:pt>
                <c:pt idx="9">
                  <c:v>0.89329999999999998</c:v>
                </c:pt>
                <c:pt idx="10">
                  <c:v>1.0065999999999999</c:v>
                </c:pt>
                <c:pt idx="11">
                  <c:v>1.1189</c:v>
                </c:pt>
                <c:pt idx="12">
                  <c:v>1.2472000000000001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C0-4E2C-8B5A-533DAFC9D93F}"/>
            </c:ext>
          </c:extLst>
        </c:ser>
        <c:ser>
          <c:idx val="2"/>
          <c:order val="2"/>
          <c:tx>
            <c:v>Suction at 50% C</c:v>
          </c:tx>
          <c:xVal>
            <c:numRef>
              <c:f>'PICET 2025'!$L$5:$L$17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2025'!$N$5:$N$17</c:f>
              <c:numCache>
                <c:formatCode>General</c:formatCode>
                <c:ptCount val="13"/>
                <c:pt idx="0">
                  <c:v>0.13821</c:v>
                </c:pt>
                <c:pt idx="1">
                  <c:v>0.15537999999999999</c:v>
                </c:pt>
                <c:pt idx="2">
                  <c:v>0.18351500000000001</c:v>
                </c:pt>
                <c:pt idx="3">
                  <c:v>0.21836500000000003</c:v>
                </c:pt>
                <c:pt idx="4">
                  <c:v>0.25295999999999996</c:v>
                </c:pt>
                <c:pt idx="5">
                  <c:v>0.30362</c:v>
                </c:pt>
                <c:pt idx="6">
                  <c:v>0.43146000000000007</c:v>
                </c:pt>
                <c:pt idx="7">
                  <c:v>0.54688999999999999</c:v>
                </c:pt>
                <c:pt idx="8">
                  <c:v>0.672265</c:v>
                </c:pt>
                <c:pt idx="9">
                  <c:v>0.75930500000000001</c:v>
                </c:pt>
                <c:pt idx="10">
                  <c:v>0.85560999999999998</c:v>
                </c:pt>
                <c:pt idx="11">
                  <c:v>0.95106500000000005</c:v>
                </c:pt>
                <c:pt idx="12">
                  <c:v>1.0601200000000002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4C0-4E2C-8B5A-533DAFC9D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997120"/>
        <c:axId val="90999040"/>
      </c:scatterChart>
      <c:valAx>
        <c:axId val="90997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AOA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90999040"/>
        <c:crosses val="autoZero"/>
        <c:crossBetween val="midCat"/>
      </c:valAx>
      <c:valAx>
        <c:axId val="90999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9099712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CL vs AOA --allowing for</a:t>
            </a:r>
            <a:r>
              <a:rPr lang="en-US" b="1" baseline="0">
                <a:solidFill>
                  <a:sysClr val="windowText" lastClr="000000"/>
                </a:solidFill>
              </a:rPr>
              <a:t> variation in 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'PICET 2025'!$C$4</c:f>
              <c:strCache>
                <c:ptCount val="1"/>
                <c:pt idx="0">
                  <c:v>CL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'PICET 2025'!$B$5:$B$14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13</c:v>
                </c:pt>
                <c:pt idx="7">
                  <c:v>15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'PICET 2025'!$C$5:$C$14</c:f>
              <c:numCache>
                <c:formatCode>General</c:formatCode>
                <c:ptCount val="10"/>
                <c:pt idx="0">
                  <c:v>0.15</c:v>
                </c:pt>
                <c:pt idx="1">
                  <c:v>0.35</c:v>
                </c:pt>
                <c:pt idx="2">
                  <c:v>0.57999999999999996</c:v>
                </c:pt>
                <c:pt idx="3">
                  <c:v>0.68</c:v>
                </c:pt>
                <c:pt idx="4">
                  <c:v>0.82</c:v>
                </c:pt>
                <c:pt idx="5">
                  <c:v>1</c:v>
                </c:pt>
                <c:pt idx="6">
                  <c:v>1.111</c:v>
                </c:pt>
                <c:pt idx="7">
                  <c:v>1.1879999999999999</c:v>
                </c:pt>
                <c:pt idx="8">
                  <c:v>1.18</c:v>
                </c:pt>
                <c:pt idx="9">
                  <c:v>1.1100000000000001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81-401B-8722-32361BFF81B1}"/>
            </c:ext>
          </c:extLst>
        </c:ser>
        <c:ser>
          <c:idx val="1"/>
          <c:order val="1"/>
          <c:tx>
            <c:strRef>
              <c:f>'PICET 2025'!$G$2:$J$2</c:f>
              <c:strCache>
                <c:ptCount val="1"/>
                <c:pt idx="0">
                  <c:v>Injection at 50% 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'PICET 2025'!$G$5:$G$17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2025'!$H$5:$H$17</c:f>
              <c:numCache>
                <c:formatCode>General</c:formatCode>
                <c:ptCount val="13"/>
                <c:pt idx="0">
                  <c:v>0.35780000000000001</c:v>
                </c:pt>
                <c:pt idx="1">
                  <c:v>0.51119999999999999</c:v>
                </c:pt>
                <c:pt idx="2">
                  <c:v>0.74170000000000003</c:v>
                </c:pt>
                <c:pt idx="3">
                  <c:v>0.91910000000000003</c:v>
                </c:pt>
                <c:pt idx="4">
                  <c:v>1.0267999999999999</c:v>
                </c:pt>
                <c:pt idx="5">
                  <c:v>1.1634</c:v>
                </c:pt>
                <c:pt idx="6">
                  <c:v>1.3983000000000001</c:v>
                </c:pt>
                <c:pt idx="7">
                  <c:v>1.51</c:v>
                </c:pt>
                <c:pt idx="8">
                  <c:v>1.6422000000000001</c:v>
                </c:pt>
                <c:pt idx="9">
                  <c:v>1.7</c:v>
                </c:pt>
                <c:pt idx="10">
                  <c:v>1.7493000000000001</c:v>
                </c:pt>
                <c:pt idx="11">
                  <c:v>1.7793000000000001</c:v>
                </c:pt>
                <c:pt idx="12">
                  <c:v>1.6508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181-401B-8722-32361BFF81B1}"/>
            </c:ext>
          </c:extLst>
        </c:ser>
        <c:ser>
          <c:idx val="2"/>
          <c:order val="2"/>
          <c:tx>
            <c:strRef>
              <c:f>'PICET 2025'!$L$2:$O$2</c:f>
              <c:strCache>
                <c:ptCount val="1"/>
                <c:pt idx="0">
                  <c:v>Suction at 50% 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'PICET 2025'!$L$5:$L$17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2025'!$M$5:$M$17</c:f>
              <c:numCache>
                <c:formatCode>General</c:formatCode>
                <c:ptCount val="13"/>
                <c:pt idx="0">
                  <c:v>0.6956</c:v>
                </c:pt>
                <c:pt idx="1">
                  <c:v>1.0224</c:v>
                </c:pt>
                <c:pt idx="2">
                  <c:v>1.4434</c:v>
                </c:pt>
                <c:pt idx="3">
                  <c:v>1.7982</c:v>
                </c:pt>
                <c:pt idx="4">
                  <c:v>2.0535999999999999</c:v>
                </c:pt>
                <c:pt idx="5">
                  <c:v>2.3268</c:v>
                </c:pt>
                <c:pt idx="6">
                  <c:v>2.6966000000000001</c:v>
                </c:pt>
                <c:pt idx="7">
                  <c:v>3.02</c:v>
                </c:pt>
                <c:pt idx="8">
                  <c:v>3.2844000000000002</c:v>
                </c:pt>
                <c:pt idx="9">
                  <c:v>3.4</c:v>
                </c:pt>
                <c:pt idx="10">
                  <c:v>3.4986000000000002</c:v>
                </c:pt>
                <c:pt idx="11">
                  <c:v>3.5586000000000002</c:v>
                </c:pt>
                <c:pt idx="12">
                  <c:v>3.3016000000000001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181-401B-8722-32361BFF81B1}"/>
            </c:ext>
          </c:extLst>
        </c:ser>
        <c:ser>
          <c:idx val="3"/>
          <c:order val="3"/>
          <c:tx>
            <c:strRef>
              <c:f>'PICET 2025'!$U$2</c:f>
              <c:strCache>
                <c:ptCount val="1"/>
                <c:pt idx="0">
                  <c:v>Optimised Suction # 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'PICET 2025'!$S$5:$S$32</c:f>
              <c:numCache>
                <c:formatCode>General</c:formatCode>
                <c:ptCount val="2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</c:numCache>
            </c:numRef>
          </c:xVal>
          <c:yVal>
            <c:numRef>
              <c:f>'PICET 2025'!$T$5:$T$32</c:f>
              <c:numCache>
                <c:formatCode>General</c:formatCode>
                <c:ptCount val="28"/>
                <c:pt idx="0">
                  <c:v>2.001703419</c:v>
                </c:pt>
                <c:pt idx="1">
                  <c:v>2.045373605</c:v>
                </c:pt>
                <c:pt idx="2">
                  <c:v>2.0890437899999998</c:v>
                </c:pt>
                <c:pt idx="3">
                  <c:v>2.1327139750000002</c:v>
                </c:pt>
                <c:pt idx="4">
                  <c:v>2.1770112780000002</c:v>
                </c:pt>
                <c:pt idx="5">
                  <c:v>2.2219966489999998</c:v>
                </c:pt>
                <c:pt idx="6">
                  <c:v>2.266982021</c:v>
                </c:pt>
                <c:pt idx="7">
                  <c:v>2.3119673920000001</c:v>
                </c:pt>
                <c:pt idx="8">
                  <c:v>2.3569527629999998</c:v>
                </c:pt>
                <c:pt idx="9">
                  <c:v>2.401938135</c:v>
                </c:pt>
                <c:pt idx="10">
                  <c:v>2.4323373880000001</c:v>
                </c:pt>
                <c:pt idx="11">
                  <c:v>2.4608614860000002</c:v>
                </c:pt>
                <c:pt idx="12">
                  <c:v>2.494622283</c:v>
                </c:pt>
                <c:pt idx="13">
                  <c:v>2.5461632349999999</c:v>
                </c:pt>
                <c:pt idx="14">
                  <c:v>2.6582514000000002</c:v>
                </c:pt>
                <c:pt idx="15">
                  <c:v>2.769972192</c:v>
                </c:pt>
                <c:pt idx="16">
                  <c:v>2.8812706540000002</c:v>
                </c:pt>
                <c:pt idx="17">
                  <c:v>2.9906747120000001</c:v>
                </c:pt>
                <c:pt idx="18">
                  <c:v>3.1044835119999998</c:v>
                </c:pt>
                <c:pt idx="19">
                  <c:v>3.210716788</c:v>
                </c:pt>
                <c:pt idx="20">
                  <c:v>3.3039491519999999</c:v>
                </c:pt>
                <c:pt idx="21">
                  <c:v>3.3754053970000002</c:v>
                </c:pt>
                <c:pt idx="22">
                  <c:v>3.4121860439999998</c:v>
                </c:pt>
                <c:pt idx="23">
                  <c:v>3.4370633320000001</c:v>
                </c:pt>
                <c:pt idx="24">
                  <c:v>3.4587884990000002</c:v>
                </c:pt>
                <c:pt idx="25">
                  <c:v>3.4535568620000001</c:v>
                </c:pt>
                <c:pt idx="26">
                  <c:v>3.4453679510000002</c:v>
                </c:pt>
                <c:pt idx="27">
                  <c:v>3.4371790400000002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181-401B-8722-32361BFF81B1}"/>
            </c:ext>
          </c:extLst>
        </c:ser>
        <c:ser>
          <c:idx val="4"/>
          <c:order val="4"/>
          <c:tx>
            <c:strRef>
              <c:f>'PICET 2025'!$AB$2</c:f>
              <c:strCache>
                <c:ptCount val="1"/>
                <c:pt idx="0">
                  <c:v>optimisation + stabilisation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'PICET 2025'!$AA$5:$AA$32</c:f>
              <c:numCache>
                <c:formatCode>General</c:formatCode>
                <c:ptCount val="2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</c:numCache>
            </c:numRef>
          </c:xVal>
          <c:yVal>
            <c:numRef>
              <c:f>'PICET 2025'!$AB$5:$AB$32</c:f>
              <c:numCache>
                <c:formatCode>General</c:formatCode>
                <c:ptCount val="28"/>
                <c:pt idx="0">
                  <c:v>1.09210219814793</c:v>
                </c:pt>
                <c:pt idx="1">
                  <c:v>1.16665179402258</c:v>
                </c:pt>
                <c:pt idx="2">
                  <c:v>1.23299899508085</c:v>
                </c:pt>
                <c:pt idx="3">
                  <c:v>1.2914982123160199</c:v>
                </c:pt>
                <c:pt idx="4">
                  <c:v>1.34907394615099</c:v>
                </c:pt>
                <c:pt idx="5">
                  <c:v>1.4113895751030401</c:v>
                </c:pt>
                <c:pt idx="6">
                  <c:v>1.54207696460594</c:v>
                </c:pt>
                <c:pt idx="7">
                  <c:v>1.6727643541088399</c:v>
                </c:pt>
                <c:pt idx="8">
                  <c:v>1.8034517436117401</c:v>
                </c:pt>
                <c:pt idx="9">
                  <c:v>1.93413913311464</c:v>
                </c:pt>
                <c:pt idx="10">
                  <c:v>2.06482652261754</c:v>
                </c:pt>
                <c:pt idx="11">
                  <c:v>2.1955139121204401</c:v>
                </c:pt>
                <c:pt idx="12">
                  <c:v>2.3262013016233398</c:v>
                </c:pt>
                <c:pt idx="13">
                  <c:v>2.45688869112624</c:v>
                </c:pt>
                <c:pt idx="14">
                  <c:v>2.5875760806291499</c:v>
                </c:pt>
                <c:pt idx="15">
                  <c:v>2.7180230085241299</c:v>
                </c:pt>
                <c:pt idx="16">
                  <c:v>2.8483331049334701</c:v>
                </c:pt>
                <c:pt idx="17">
                  <c:v>2.9703851010545201</c:v>
                </c:pt>
                <c:pt idx="18">
                  <c:v>3.0827194370778801</c:v>
                </c:pt>
                <c:pt idx="19">
                  <c:v>3.1814131008577</c:v>
                </c:pt>
                <c:pt idx="20">
                  <c:v>3.2692480353892299</c:v>
                </c:pt>
                <c:pt idx="21">
                  <c:v>3.34631146896748</c:v>
                </c:pt>
                <c:pt idx="22">
                  <c:v>3.3902586096430198</c:v>
                </c:pt>
                <c:pt idx="23">
                  <c:v>3.4222049832983901</c:v>
                </c:pt>
                <c:pt idx="24">
                  <c:v>3.4397285287494999</c:v>
                </c:pt>
                <c:pt idx="25">
                  <c:v>3.4548565566187399</c:v>
                </c:pt>
                <c:pt idx="26">
                  <c:v>3.4690494610669198</c:v>
                </c:pt>
                <c:pt idx="27">
                  <c:v>3.4832423655151001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19-49B0-8FBC-D5E84C509E1F}"/>
            </c:ext>
          </c:extLst>
        </c:ser>
        <c:ser>
          <c:idx val="5"/>
          <c:order val="5"/>
          <c:tx>
            <c:strRef>
              <c:f>'PICET 2025'!$AA$34</c:f>
              <c:strCache>
                <c:ptCount val="1"/>
                <c:pt idx="0">
                  <c:v>Calculated_suction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'PICET 2025'!$Y$36:$Y$63</c:f>
              <c:numCache>
                <c:formatCode>General</c:formatCode>
                <c:ptCount val="2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</c:numCache>
            </c:numRef>
          </c:xVal>
          <c:yVal>
            <c:numRef>
              <c:f>'PICET 2025'!$Z$36:$Z$63</c:f>
              <c:numCache>
                <c:formatCode>General</c:formatCode>
                <c:ptCount val="28"/>
                <c:pt idx="0">
                  <c:v>1.16369025971786</c:v>
                </c:pt>
                <c:pt idx="1">
                  <c:v>1.24913354186229</c:v>
                </c:pt>
                <c:pt idx="2">
                  <c:v>1.3442212751009299</c:v>
                </c:pt>
                <c:pt idx="3">
                  <c:v>1.43651239789754</c:v>
                </c:pt>
                <c:pt idx="4">
                  <c:v>1.5291609066156</c:v>
                </c:pt>
                <c:pt idx="5">
                  <c:v>1.63174028144106</c:v>
                </c:pt>
                <c:pt idx="6">
                  <c:v>1.73326314317009</c:v>
                </c:pt>
                <c:pt idx="7">
                  <c:v>1.8344830952098099</c:v>
                </c:pt>
                <c:pt idx="8">
                  <c:v>1.93633394708781</c:v>
                </c:pt>
                <c:pt idx="9">
                  <c:v>2.0452641518224799</c:v>
                </c:pt>
                <c:pt idx="10">
                  <c:v>2.1523191707020302</c:v>
                </c:pt>
                <c:pt idx="11">
                  <c:v>2.2580761461679302</c:v>
                </c:pt>
                <c:pt idx="12">
                  <c:v>2.3777388265627799</c:v>
                </c:pt>
                <c:pt idx="13">
                  <c:v>2.49639794926521</c:v>
                </c:pt>
                <c:pt idx="14">
                  <c:v>2.6158093888716598</c:v>
                </c:pt>
                <c:pt idx="15">
                  <c:v>2.71094462300836</c:v>
                </c:pt>
                <c:pt idx="16">
                  <c:v>2.8522603082045999</c:v>
                </c:pt>
                <c:pt idx="17">
                  <c:v>2.9719790976206601</c:v>
                </c:pt>
                <c:pt idx="18">
                  <c:v>3.0902094245203799</c:v>
                </c:pt>
                <c:pt idx="19">
                  <c:v>3.2060834969884802</c:v>
                </c:pt>
                <c:pt idx="20">
                  <c:v>3.2979787911071998</c:v>
                </c:pt>
                <c:pt idx="21">
                  <c:v>3.3601181784771201</c:v>
                </c:pt>
                <c:pt idx="22">
                  <c:v>3.4029657145452501</c:v>
                </c:pt>
                <c:pt idx="23">
                  <c:v>3.4253480456309799</c:v>
                </c:pt>
                <c:pt idx="24">
                  <c:v>3.44238874354058</c:v>
                </c:pt>
                <c:pt idx="25">
                  <c:v>3.4657011033449399</c:v>
                </c:pt>
                <c:pt idx="26">
                  <c:v>3.4827335625295399</c:v>
                </c:pt>
                <c:pt idx="27">
                  <c:v>3.49976602171414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DF-499C-B978-F313F33FC2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819712"/>
        <c:axId val="627820672"/>
      </c:scatterChart>
      <c:valAx>
        <c:axId val="62781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820672"/>
        <c:crosses val="autoZero"/>
        <c:crossBetween val="midCat"/>
      </c:valAx>
      <c:valAx>
        <c:axId val="62782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tx1"/>
                    </a:solidFill>
                  </a:rPr>
                  <a:t>CL</a:t>
                </a:r>
              </a:p>
              <a:p>
                <a:pPr>
                  <a:defRPr/>
                </a:pPr>
                <a:endParaRPr lang="en-US" b="1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81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18</xdr:row>
      <xdr:rowOff>52386</xdr:rowOff>
    </xdr:from>
    <xdr:to>
      <xdr:col>10</xdr:col>
      <xdr:colOff>200026</xdr:colOff>
      <xdr:row>34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485774</xdr:colOff>
      <xdr:row>34</xdr:row>
      <xdr:rowOff>138112</xdr:rowOff>
    </xdr:from>
    <xdr:to>
      <xdr:col>10</xdr:col>
      <xdr:colOff>95250</xdr:colOff>
      <xdr:row>51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571501</xdr:colOff>
      <xdr:row>32</xdr:row>
      <xdr:rowOff>100772</xdr:rowOff>
    </xdr:from>
    <xdr:to>
      <xdr:col>22</xdr:col>
      <xdr:colOff>299357</xdr:colOff>
      <xdr:row>58</xdr:row>
      <xdr:rowOff>54429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0F4F07D-7884-8493-28E9-EC8817675B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63"/>
  <sheetViews>
    <sheetView tabSelected="1" topLeftCell="M33" zoomScale="145" zoomScaleNormal="145" workbookViewId="0">
      <selection activeCell="AA35" sqref="AA35"/>
    </sheetView>
  </sheetViews>
  <sheetFormatPr defaultRowHeight="15" x14ac:dyDescent="0.25"/>
  <cols>
    <col min="20" max="20" width="23.140625" customWidth="1"/>
    <col min="21" max="21" width="22.42578125" customWidth="1"/>
    <col min="22" max="22" width="19.28515625" customWidth="1"/>
    <col min="23" max="23" width="22.5703125" customWidth="1"/>
    <col min="24" max="24" width="18.85546875" customWidth="1"/>
    <col min="27" max="27" width="12.5703125" customWidth="1"/>
    <col min="29" max="29" width="12.7109375" customWidth="1"/>
  </cols>
  <sheetData>
    <row r="1" spans="2:32" ht="15.75" thickBot="1" x14ac:dyDescent="0.3"/>
    <row r="2" spans="2:32" ht="19.5" customHeight="1" thickBot="1" x14ac:dyDescent="0.35">
      <c r="B2" s="15" t="s">
        <v>6</v>
      </c>
      <c r="C2" s="16"/>
      <c r="D2" s="16"/>
      <c r="E2" s="17"/>
      <c r="G2" s="15" t="s">
        <v>5</v>
      </c>
      <c r="H2" s="16"/>
      <c r="I2" s="16"/>
      <c r="J2" s="17"/>
      <c r="L2" s="15" t="s">
        <v>4</v>
      </c>
      <c r="M2" s="16"/>
      <c r="N2" s="16"/>
      <c r="O2" s="17"/>
      <c r="R2" s="10"/>
      <c r="S2" s="10"/>
      <c r="T2" s="10"/>
      <c r="U2" s="9" t="s">
        <v>14</v>
      </c>
      <c r="V2" s="11"/>
      <c r="AB2" s="9" t="s">
        <v>15</v>
      </c>
      <c r="AC2" s="14"/>
      <c r="AD2" s="11"/>
    </row>
    <row r="4" spans="2:32" ht="15.75" x14ac:dyDescent="0.25">
      <c r="B4" s="6" t="s">
        <v>0</v>
      </c>
      <c r="C4" s="6" t="s">
        <v>1</v>
      </c>
      <c r="D4" s="6" t="s">
        <v>2</v>
      </c>
      <c r="E4" s="6" t="s">
        <v>3</v>
      </c>
      <c r="G4" s="2" t="s">
        <v>0</v>
      </c>
      <c r="H4" s="2" t="s">
        <v>1</v>
      </c>
      <c r="I4" s="2" t="s">
        <v>2</v>
      </c>
      <c r="J4" s="2" t="s">
        <v>3</v>
      </c>
      <c r="L4" s="2" t="s">
        <v>0</v>
      </c>
      <c r="M4" s="2" t="s">
        <v>1</v>
      </c>
      <c r="N4" s="2" t="s">
        <v>2</v>
      </c>
      <c r="O4" s="2" t="s">
        <v>3</v>
      </c>
      <c r="S4" s="12" t="s">
        <v>7</v>
      </c>
      <c r="T4" s="12" t="s">
        <v>8</v>
      </c>
      <c r="U4" s="12" t="s">
        <v>9</v>
      </c>
      <c r="V4" s="12" t="s">
        <v>10</v>
      </c>
      <c r="W4" s="12" t="s">
        <v>11</v>
      </c>
      <c r="X4" s="12" t="s">
        <v>12</v>
      </c>
      <c r="AA4" t="s">
        <v>7</v>
      </c>
      <c r="AB4" t="s">
        <v>8</v>
      </c>
      <c r="AC4" t="s">
        <v>9</v>
      </c>
      <c r="AD4" t="s">
        <v>10</v>
      </c>
      <c r="AE4" t="s">
        <v>11</v>
      </c>
      <c r="AF4" t="s">
        <v>12</v>
      </c>
    </row>
    <row r="5" spans="2:32" x14ac:dyDescent="0.25">
      <c r="B5" s="3">
        <v>0</v>
      </c>
      <c r="C5" s="3">
        <v>0.15</v>
      </c>
      <c r="D5" s="1">
        <v>7.0000000000000001E-3</v>
      </c>
      <c r="E5" s="1">
        <f>C5/D5</f>
        <v>21.428571428571427</v>
      </c>
      <c r="G5" s="3">
        <v>0</v>
      </c>
      <c r="H5" s="3">
        <v>0.35780000000000001</v>
      </c>
      <c r="I5" s="3">
        <v>0.16259999999999999</v>
      </c>
      <c r="J5" s="3">
        <f>H5/I5</f>
        <v>2.2004920049200494</v>
      </c>
      <c r="L5" s="3">
        <v>0</v>
      </c>
      <c r="M5" s="3">
        <v>0.6956</v>
      </c>
      <c r="N5" s="3">
        <v>0.13821</v>
      </c>
      <c r="O5" s="3">
        <f>M5/N5</f>
        <v>5.0329209174444687</v>
      </c>
      <c r="S5" s="12">
        <v>0</v>
      </c>
      <c r="T5" s="12">
        <v>2.001703419</v>
      </c>
      <c r="U5" s="12">
        <v>50</v>
      </c>
      <c r="V5" s="12">
        <v>2</v>
      </c>
      <c r="W5" s="12">
        <v>1000000</v>
      </c>
      <c r="X5" s="12">
        <v>600</v>
      </c>
      <c r="AA5">
        <v>0</v>
      </c>
      <c r="AB5">
        <v>1.09210219814793</v>
      </c>
      <c r="AC5">
        <v>50</v>
      </c>
      <c r="AD5">
        <v>2</v>
      </c>
      <c r="AE5">
        <v>1000000</v>
      </c>
      <c r="AF5">
        <v>460</v>
      </c>
    </row>
    <row r="6" spans="2:32" x14ac:dyDescent="0.25">
      <c r="B6" s="3">
        <v>2</v>
      </c>
      <c r="C6" s="3">
        <v>0.35</v>
      </c>
      <c r="D6" s="1">
        <v>8.9999999999999993E-3</v>
      </c>
      <c r="E6" s="1">
        <f t="shared" ref="E6:E14" si="0">C6/D6</f>
        <v>38.888888888888893</v>
      </c>
      <c r="G6" s="3">
        <v>2</v>
      </c>
      <c r="H6" s="3">
        <v>0.51119999999999999</v>
      </c>
      <c r="I6" s="3">
        <v>0.18279999999999999</v>
      </c>
      <c r="J6" s="3">
        <f t="shared" ref="J6:J17" si="1">H6/I6</f>
        <v>2.7964989059080962</v>
      </c>
      <c r="L6" s="3">
        <v>2</v>
      </c>
      <c r="M6" s="3">
        <v>1.0224</v>
      </c>
      <c r="N6" s="3">
        <v>0.15537999999999999</v>
      </c>
      <c r="O6" s="3">
        <f t="shared" ref="O6:O17" si="2">M6/N6</f>
        <v>6.5799974256661091</v>
      </c>
      <c r="S6" s="12">
        <v>1</v>
      </c>
      <c r="T6" s="12">
        <v>2.045373605</v>
      </c>
      <c r="U6" s="12">
        <v>50</v>
      </c>
      <c r="V6" s="12">
        <v>2</v>
      </c>
      <c r="W6" s="12">
        <v>1000000</v>
      </c>
      <c r="X6" s="12">
        <v>600</v>
      </c>
      <c r="AA6">
        <v>1</v>
      </c>
      <c r="AB6">
        <v>1.16665179402258</v>
      </c>
      <c r="AC6">
        <v>50</v>
      </c>
      <c r="AD6">
        <v>2</v>
      </c>
      <c r="AE6">
        <v>1000000</v>
      </c>
      <c r="AF6">
        <v>460</v>
      </c>
    </row>
    <row r="7" spans="2:32" x14ac:dyDescent="0.25">
      <c r="B7" s="3">
        <v>4</v>
      </c>
      <c r="C7" s="3">
        <v>0.57999999999999996</v>
      </c>
      <c r="D7" s="1">
        <v>1.0999999999999999E-2</v>
      </c>
      <c r="E7" s="1">
        <f t="shared" si="0"/>
        <v>52.727272727272727</v>
      </c>
      <c r="G7" s="3">
        <v>5</v>
      </c>
      <c r="H7" s="3">
        <v>0.74170000000000003</v>
      </c>
      <c r="I7" s="3">
        <v>0.21590000000000001</v>
      </c>
      <c r="J7" s="3">
        <f t="shared" si="1"/>
        <v>3.4353867531264473</v>
      </c>
      <c r="L7" s="3">
        <v>5</v>
      </c>
      <c r="M7" s="3">
        <v>1.4434</v>
      </c>
      <c r="N7" s="3">
        <v>0.18351500000000001</v>
      </c>
      <c r="O7" s="3">
        <f t="shared" si="2"/>
        <v>7.8652971146772739</v>
      </c>
      <c r="S7" s="12">
        <v>2</v>
      </c>
      <c r="T7" s="12">
        <v>2.0890437899999998</v>
      </c>
      <c r="U7" s="12">
        <v>50</v>
      </c>
      <c r="V7" s="12">
        <v>2</v>
      </c>
      <c r="W7" s="12">
        <v>1000000</v>
      </c>
      <c r="X7" s="12">
        <v>600</v>
      </c>
      <c r="AA7">
        <v>2</v>
      </c>
      <c r="AB7">
        <v>1.23299899508085</v>
      </c>
      <c r="AC7">
        <v>50</v>
      </c>
      <c r="AD7">
        <v>2</v>
      </c>
      <c r="AE7">
        <v>1000000</v>
      </c>
      <c r="AF7">
        <v>460</v>
      </c>
    </row>
    <row r="8" spans="2:32" x14ac:dyDescent="0.25">
      <c r="B8" s="3">
        <v>6</v>
      </c>
      <c r="C8" s="3">
        <v>0.68</v>
      </c>
      <c r="D8" s="1">
        <v>1.2200000000000001E-2</v>
      </c>
      <c r="E8" s="1">
        <f t="shared" si="0"/>
        <v>55.73770491803279</v>
      </c>
      <c r="G8" s="3">
        <v>8</v>
      </c>
      <c r="H8" s="3">
        <v>0.91910000000000003</v>
      </c>
      <c r="I8" s="3">
        <v>0.25690000000000002</v>
      </c>
      <c r="J8" s="3">
        <f t="shared" si="1"/>
        <v>3.5776566757493184</v>
      </c>
      <c r="L8" s="3">
        <v>8</v>
      </c>
      <c r="M8" s="3">
        <v>1.7982</v>
      </c>
      <c r="N8" s="3">
        <v>0.21836500000000003</v>
      </c>
      <c r="O8" s="3">
        <f t="shared" si="2"/>
        <v>8.2348361687999443</v>
      </c>
      <c r="S8" s="12">
        <v>3</v>
      </c>
      <c r="T8" s="12">
        <v>2.1327139750000002</v>
      </c>
      <c r="U8" s="12">
        <v>50</v>
      </c>
      <c r="V8" s="12">
        <v>2</v>
      </c>
      <c r="W8" s="12">
        <v>1000000</v>
      </c>
      <c r="X8" s="12">
        <v>600</v>
      </c>
      <c r="AA8">
        <v>3</v>
      </c>
      <c r="AB8">
        <v>1.2914982123160199</v>
      </c>
      <c r="AC8">
        <v>50</v>
      </c>
      <c r="AD8">
        <v>2</v>
      </c>
      <c r="AE8">
        <v>1000000</v>
      </c>
      <c r="AF8">
        <v>460</v>
      </c>
    </row>
    <row r="9" spans="2:32" x14ac:dyDescent="0.25">
      <c r="B9" s="3">
        <v>8</v>
      </c>
      <c r="C9" s="3">
        <v>0.82</v>
      </c>
      <c r="D9" s="1">
        <v>1.4999999999999999E-2</v>
      </c>
      <c r="E9" s="1">
        <f t="shared" si="0"/>
        <v>54.666666666666664</v>
      </c>
      <c r="G9" s="3">
        <v>10</v>
      </c>
      <c r="H9" s="3">
        <v>1.0267999999999999</v>
      </c>
      <c r="I9" s="3">
        <v>0.29759999999999998</v>
      </c>
      <c r="J9" s="3">
        <f t="shared" si="1"/>
        <v>3.450268817204301</v>
      </c>
      <c r="L9" s="3">
        <v>10</v>
      </c>
      <c r="M9" s="3">
        <v>2.0535999999999999</v>
      </c>
      <c r="N9" s="3">
        <v>0.25295999999999996</v>
      </c>
      <c r="O9" s="3">
        <f t="shared" si="2"/>
        <v>8.1182795698924739</v>
      </c>
      <c r="S9" s="12">
        <v>4</v>
      </c>
      <c r="T9" s="12">
        <v>2.1770112780000002</v>
      </c>
      <c r="U9" s="12">
        <v>50</v>
      </c>
      <c r="V9" s="12">
        <v>2</v>
      </c>
      <c r="W9" s="12">
        <v>1000000</v>
      </c>
      <c r="X9" s="12">
        <v>600</v>
      </c>
      <c r="AA9">
        <v>4</v>
      </c>
      <c r="AB9">
        <v>1.34907394615099</v>
      </c>
      <c r="AC9">
        <v>50</v>
      </c>
      <c r="AD9">
        <v>2</v>
      </c>
      <c r="AE9">
        <v>1000000</v>
      </c>
      <c r="AF9">
        <v>460</v>
      </c>
    </row>
    <row r="10" spans="2:32" x14ac:dyDescent="0.25">
      <c r="B10" s="3">
        <v>10</v>
      </c>
      <c r="C10" s="3">
        <v>1</v>
      </c>
      <c r="D10" s="1">
        <v>0.02</v>
      </c>
      <c r="E10" s="1">
        <f t="shared" si="0"/>
        <v>50</v>
      </c>
      <c r="G10" s="3">
        <v>12</v>
      </c>
      <c r="H10" s="3">
        <v>1.1634</v>
      </c>
      <c r="I10" s="3">
        <v>0.35720000000000002</v>
      </c>
      <c r="J10" s="3">
        <f t="shared" si="1"/>
        <v>3.2569988801791712</v>
      </c>
      <c r="L10" s="3">
        <v>12</v>
      </c>
      <c r="M10" s="3">
        <v>2.3268</v>
      </c>
      <c r="N10" s="3">
        <v>0.30362</v>
      </c>
      <c r="O10" s="3">
        <f t="shared" si="2"/>
        <v>7.6635267768921675</v>
      </c>
      <c r="S10" s="12">
        <v>5</v>
      </c>
      <c r="T10" s="12">
        <v>2.2219966489999998</v>
      </c>
      <c r="U10" s="12">
        <v>50</v>
      </c>
      <c r="V10" s="12">
        <v>2</v>
      </c>
      <c r="W10" s="12">
        <v>1000000</v>
      </c>
      <c r="X10" s="12">
        <v>600</v>
      </c>
      <c r="AA10">
        <v>5</v>
      </c>
      <c r="AB10">
        <v>1.4113895751030401</v>
      </c>
      <c r="AC10">
        <v>50</v>
      </c>
      <c r="AD10">
        <v>2</v>
      </c>
      <c r="AE10">
        <v>2000000</v>
      </c>
      <c r="AF10">
        <v>600</v>
      </c>
    </row>
    <row r="11" spans="2:32" x14ac:dyDescent="0.25">
      <c r="B11" s="4">
        <v>13</v>
      </c>
      <c r="C11" s="4">
        <v>1.111</v>
      </c>
      <c r="D11" s="4">
        <v>4.9000000000000002E-2</v>
      </c>
      <c r="E11" s="4">
        <f t="shared" si="0"/>
        <v>22.673469387755102</v>
      </c>
      <c r="G11" s="3">
        <v>15</v>
      </c>
      <c r="H11" s="3">
        <v>1.3983000000000001</v>
      </c>
      <c r="I11" s="3">
        <v>0.50760000000000005</v>
      </c>
      <c r="J11" s="3">
        <f t="shared" si="1"/>
        <v>2.7547281323877066</v>
      </c>
      <c r="L11" s="3">
        <v>15</v>
      </c>
      <c r="M11" s="3">
        <v>2.6966000000000001</v>
      </c>
      <c r="N11" s="3">
        <v>0.43146000000000007</v>
      </c>
      <c r="O11" s="3">
        <f t="shared" si="2"/>
        <v>6.2499420572011299</v>
      </c>
      <c r="S11" s="12">
        <v>6</v>
      </c>
      <c r="T11" s="12">
        <v>2.266982021</v>
      </c>
      <c r="U11" s="12">
        <v>50</v>
      </c>
      <c r="V11" s="12">
        <v>2</v>
      </c>
      <c r="W11" s="12">
        <v>1000000</v>
      </c>
      <c r="X11" s="12">
        <v>600</v>
      </c>
      <c r="AA11">
        <v>6</v>
      </c>
      <c r="AB11">
        <v>1.54207696460594</v>
      </c>
      <c r="AC11">
        <v>50</v>
      </c>
      <c r="AD11">
        <v>2</v>
      </c>
      <c r="AE11">
        <v>2000000</v>
      </c>
      <c r="AF11">
        <v>600</v>
      </c>
    </row>
    <row r="12" spans="2:32" x14ac:dyDescent="0.25">
      <c r="B12" s="3">
        <v>15</v>
      </c>
      <c r="C12" s="3">
        <v>1.1879999999999999</v>
      </c>
      <c r="D12" s="1">
        <v>6.5000000000000002E-2</v>
      </c>
      <c r="E12" s="1">
        <f t="shared" si="0"/>
        <v>18.276923076923076</v>
      </c>
      <c r="G12" s="3">
        <v>18</v>
      </c>
      <c r="H12" s="3">
        <v>1.51</v>
      </c>
      <c r="I12" s="3">
        <v>0.64339999999999997</v>
      </c>
      <c r="J12" s="3">
        <f t="shared" si="1"/>
        <v>2.3469070562635999</v>
      </c>
      <c r="L12" s="3">
        <v>18</v>
      </c>
      <c r="M12" s="3">
        <v>3.02</v>
      </c>
      <c r="N12" s="3">
        <v>0.54688999999999999</v>
      </c>
      <c r="O12" s="3">
        <f t="shared" si="2"/>
        <v>5.522134250031999</v>
      </c>
      <c r="S12" s="12">
        <v>7</v>
      </c>
      <c r="T12" s="12">
        <v>2.3119673920000001</v>
      </c>
      <c r="U12" s="12">
        <v>50</v>
      </c>
      <c r="V12" s="12">
        <v>2</v>
      </c>
      <c r="W12" s="12">
        <v>1000000</v>
      </c>
      <c r="X12" s="12">
        <v>600</v>
      </c>
      <c r="AA12">
        <v>7</v>
      </c>
      <c r="AB12">
        <v>1.6727643541088399</v>
      </c>
      <c r="AC12">
        <v>50</v>
      </c>
      <c r="AD12">
        <v>2</v>
      </c>
      <c r="AE12">
        <v>2000000</v>
      </c>
      <c r="AF12">
        <v>600</v>
      </c>
    </row>
    <row r="13" spans="2:32" x14ac:dyDescent="0.25">
      <c r="B13" s="3">
        <v>18</v>
      </c>
      <c r="C13" s="3">
        <v>1.18</v>
      </c>
      <c r="D13" s="1">
        <v>0.1</v>
      </c>
      <c r="E13" s="1">
        <f t="shared" si="0"/>
        <v>11.799999999999999</v>
      </c>
      <c r="G13" s="3">
        <v>20</v>
      </c>
      <c r="H13" s="3">
        <v>1.6422000000000001</v>
      </c>
      <c r="I13" s="3">
        <v>0.79090000000000005</v>
      </c>
      <c r="J13" s="3">
        <f t="shared" si="1"/>
        <v>2.0763686938930332</v>
      </c>
      <c r="L13" s="3">
        <v>20</v>
      </c>
      <c r="M13" s="3">
        <v>3.2844000000000002</v>
      </c>
      <c r="N13" s="3">
        <v>0.672265</v>
      </c>
      <c r="O13" s="3">
        <f t="shared" si="2"/>
        <v>4.8855733973953726</v>
      </c>
      <c r="S13" s="12">
        <v>8</v>
      </c>
      <c r="T13" s="12">
        <v>2.3569527629999998</v>
      </c>
      <c r="U13" s="12">
        <v>50</v>
      </c>
      <c r="V13" s="12">
        <v>2</v>
      </c>
      <c r="W13" s="12">
        <v>1000000</v>
      </c>
      <c r="X13" s="12">
        <v>600</v>
      </c>
      <c r="AA13">
        <v>8</v>
      </c>
      <c r="AB13">
        <v>1.8034517436117401</v>
      </c>
      <c r="AC13">
        <v>50</v>
      </c>
      <c r="AD13">
        <v>2</v>
      </c>
      <c r="AE13">
        <v>2000000</v>
      </c>
      <c r="AF13">
        <v>600</v>
      </c>
    </row>
    <row r="14" spans="2:32" x14ac:dyDescent="0.25">
      <c r="B14" s="3">
        <v>20</v>
      </c>
      <c r="C14" s="3">
        <v>1.1100000000000001</v>
      </c>
      <c r="D14" s="1">
        <v>0.14499999999999999</v>
      </c>
      <c r="E14" s="1">
        <f t="shared" si="0"/>
        <v>7.655172413793105</v>
      </c>
      <c r="G14" s="3">
        <v>22</v>
      </c>
      <c r="H14" s="3">
        <v>1.7</v>
      </c>
      <c r="I14" s="3">
        <v>0.89329999999999998</v>
      </c>
      <c r="J14" s="3">
        <f t="shared" si="1"/>
        <v>1.9030560841822457</v>
      </c>
      <c r="L14" s="3">
        <v>22</v>
      </c>
      <c r="M14" s="3">
        <v>3.4</v>
      </c>
      <c r="N14" s="3">
        <v>0.75930500000000001</v>
      </c>
      <c r="O14" s="3">
        <f t="shared" si="2"/>
        <v>4.4777790216052837</v>
      </c>
      <c r="S14" s="12">
        <v>9</v>
      </c>
      <c r="T14" s="12">
        <v>2.401938135</v>
      </c>
      <c r="U14" s="12">
        <v>50</v>
      </c>
      <c r="V14" s="12">
        <v>2</v>
      </c>
      <c r="W14" s="12">
        <v>1000000</v>
      </c>
      <c r="X14" s="12">
        <v>600</v>
      </c>
      <c r="AA14">
        <v>9</v>
      </c>
      <c r="AB14">
        <v>1.93413913311464</v>
      </c>
      <c r="AC14">
        <v>50</v>
      </c>
      <c r="AD14">
        <v>2</v>
      </c>
      <c r="AE14">
        <v>2000000</v>
      </c>
      <c r="AF14">
        <v>600</v>
      </c>
    </row>
    <row r="15" spans="2:32" x14ac:dyDescent="0.25">
      <c r="G15" s="3">
        <v>24</v>
      </c>
      <c r="H15" s="3">
        <v>1.7493000000000001</v>
      </c>
      <c r="I15" s="3">
        <v>1.0065999999999999</v>
      </c>
      <c r="J15" s="3">
        <f t="shared" si="1"/>
        <v>1.7378303198887346</v>
      </c>
      <c r="L15" s="3">
        <v>24</v>
      </c>
      <c r="M15" s="3">
        <v>3.4986000000000002</v>
      </c>
      <c r="N15" s="3">
        <v>0.85560999999999998</v>
      </c>
      <c r="O15" s="3">
        <f t="shared" si="2"/>
        <v>4.0890125173852576</v>
      </c>
      <c r="S15" s="12">
        <v>10</v>
      </c>
      <c r="T15" s="12">
        <v>2.4323373880000001</v>
      </c>
      <c r="U15" s="12">
        <v>50</v>
      </c>
      <c r="V15" s="12">
        <v>2</v>
      </c>
      <c r="W15" s="12">
        <v>1000000</v>
      </c>
      <c r="X15" s="12">
        <v>600</v>
      </c>
      <c r="AA15">
        <v>10</v>
      </c>
      <c r="AB15">
        <v>2.06482652261754</v>
      </c>
      <c r="AC15">
        <v>50</v>
      </c>
      <c r="AD15">
        <v>2</v>
      </c>
      <c r="AE15">
        <v>2000000</v>
      </c>
      <c r="AF15">
        <v>600</v>
      </c>
    </row>
    <row r="16" spans="2:32" x14ac:dyDescent="0.25">
      <c r="G16" s="4">
        <v>26</v>
      </c>
      <c r="H16" s="4">
        <v>1.7793000000000001</v>
      </c>
      <c r="I16" s="4">
        <v>1.1189</v>
      </c>
      <c r="J16" s="4">
        <f t="shared" si="1"/>
        <v>1.5902225399946377</v>
      </c>
      <c r="L16" s="4">
        <v>26</v>
      </c>
      <c r="M16" s="4">
        <v>3.5586000000000002</v>
      </c>
      <c r="N16" s="4">
        <v>0.95106500000000005</v>
      </c>
      <c r="O16" s="4">
        <f t="shared" si="2"/>
        <v>3.7417000941050298</v>
      </c>
      <c r="Q16" s="7"/>
      <c r="R16" s="8"/>
      <c r="S16" s="12">
        <v>11</v>
      </c>
      <c r="T16" s="12">
        <v>2.4608614860000002</v>
      </c>
      <c r="U16" s="12">
        <v>50</v>
      </c>
      <c r="V16" s="12">
        <v>2</v>
      </c>
      <c r="W16" s="12">
        <v>1000000</v>
      </c>
      <c r="X16" s="12">
        <v>600</v>
      </c>
      <c r="AA16">
        <v>11</v>
      </c>
      <c r="AB16">
        <v>2.1955139121204401</v>
      </c>
      <c r="AC16">
        <v>50</v>
      </c>
      <c r="AD16">
        <v>2</v>
      </c>
      <c r="AE16">
        <v>2000000</v>
      </c>
      <c r="AF16">
        <v>600</v>
      </c>
    </row>
    <row r="17" spans="7:32" x14ac:dyDescent="0.25">
      <c r="G17" s="5">
        <v>28</v>
      </c>
      <c r="H17" s="5">
        <v>1.6508</v>
      </c>
      <c r="I17" s="3">
        <v>1.2472000000000001</v>
      </c>
      <c r="J17" s="3">
        <f t="shared" si="1"/>
        <v>1.3236048749198204</v>
      </c>
      <c r="L17" s="5">
        <v>28</v>
      </c>
      <c r="M17" s="3">
        <v>3.3016000000000001</v>
      </c>
      <c r="N17" s="3">
        <v>1.0601200000000002</v>
      </c>
      <c r="O17" s="5">
        <f t="shared" si="2"/>
        <v>3.1143644115760476</v>
      </c>
      <c r="Q17" s="7"/>
      <c r="R17" s="8"/>
      <c r="S17" s="12">
        <v>12</v>
      </c>
      <c r="T17" s="12">
        <v>2.494622283</v>
      </c>
      <c r="U17" s="12">
        <v>50</v>
      </c>
      <c r="V17" s="12">
        <v>2</v>
      </c>
      <c r="W17" s="12">
        <v>1000000</v>
      </c>
      <c r="X17" s="12">
        <v>600</v>
      </c>
      <c r="AA17">
        <v>12</v>
      </c>
      <c r="AB17">
        <v>2.3262013016233398</v>
      </c>
      <c r="AC17">
        <v>50</v>
      </c>
      <c r="AD17">
        <v>2</v>
      </c>
      <c r="AE17">
        <v>2000000</v>
      </c>
      <c r="AF17">
        <v>600</v>
      </c>
    </row>
    <row r="18" spans="7:32" x14ac:dyDescent="0.25">
      <c r="S18" s="12">
        <v>13</v>
      </c>
      <c r="T18" s="12">
        <v>2.5461632349999999</v>
      </c>
      <c r="U18" s="12">
        <v>50</v>
      </c>
      <c r="V18" s="12">
        <v>2</v>
      </c>
      <c r="W18" s="12">
        <v>1674106</v>
      </c>
      <c r="X18" s="12">
        <v>600</v>
      </c>
      <c r="AA18">
        <v>13</v>
      </c>
      <c r="AB18">
        <v>2.45688869112624</v>
      </c>
      <c r="AC18">
        <v>50</v>
      </c>
      <c r="AD18">
        <v>2</v>
      </c>
      <c r="AE18">
        <v>2000000</v>
      </c>
      <c r="AF18">
        <v>600</v>
      </c>
    </row>
    <row r="19" spans="7:32" x14ac:dyDescent="0.25">
      <c r="S19" s="12">
        <v>14</v>
      </c>
      <c r="T19" s="12">
        <v>2.6582514000000002</v>
      </c>
      <c r="U19" s="12">
        <v>50</v>
      </c>
      <c r="V19" s="12">
        <v>2</v>
      </c>
      <c r="W19" s="12">
        <v>1697864</v>
      </c>
      <c r="X19" s="12">
        <v>600</v>
      </c>
      <c r="AA19">
        <v>14</v>
      </c>
      <c r="AB19">
        <v>2.5875760806291499</v>
      </c>
      <c r="AC19">
        <v>50</v>
      </c>
      <c r="AD19">
        <v>2</v>
      </c>
      <c r="AE19">
        <v>2000000</v>
      </c>
      <c r="AF19">
        <v>600</v>
      </c>
    </row>
    <row r="20" spans="7:32" x14ac:dyDescent="0.25">
      <c r="S20" s="12">
        <v>15</v>
      </c>
      <c r="T20" s="12">
        <v>2.769972192</v>
      </c>
      <c r="U20" s="12">
        <v>50</v>
      </c>
      <c r="V20" s="12">
        <v>2</v>
      </c>
      <c r="W20" s="12">
        <v>1737737</v>
      </c>
      <c r="X20" s="12">
        <v>600</v>
      </c>
      <c r="AA20">
        <v>15</v>
      </c>
      <c r="AB20">
        <v>2.7180230085241299</v>
      </c>
      <c r="AC20">
        <v>50</v>
      </c>
      <c r="AD20">
        <v>2</v>
      </c>
      <c r="AE20">
        <v>2000000</v>
      </c>
      <c r="AF20">
        <v>600</v>
      </c>
    </row>
    <row r="21" spans="7:32" x14ac:dyDescent="0.25">
      <c r="S21" s="12">
        <v>16</v>
      </c>
      <c r="T21" s="12">
        <v>2.8812706540000002</v>
      </c>
      <c r="U21" s="12">
        <v>50</v>
      </c>
      <c r="V21" s="12">
        <v>2</v>
      </c>
      <c r="W21" s="12">
        <v>1780843</v>
      </c>
      <c r="X21" s="12">
        <v>600</v>
      </c>
      <c r="AA21">
        <v>16</v>
      </c>
      <c r="AB21">
        <v>2.8483331049334701</v>
      </c>
      <c r="AC21">
        <v>50</v>
      </c>
      <c r="AD21">
        <v>2</v>
      </c>
      <c r="AE21">
        <v>2000000</v>
      </c>
      <c r="AF21">
        <v>600</v>
      </c>
    </row>
    <row r="22" spans="7:32" x14ac:dyDescent="0.25">
      <c r="S22" s="12">
        <v>17</v>
      </c>
      <c r="T22" s="12">
        <v>2.9906747120000001</v>
      </c>
      <c r="U22" s="12">
        <v>50</v>
      </c>
      <c r="V22" s="12">
        <v>2</v>
      </c>
      <c r="W22" s="12">
        <v>1812961</v>
      </c>
      <c r="X22" s="12">
        <v>600</v>
      </c>
      <c r="AA22">
        <v>17</v>
      </c>
      <c r="AB22">
        <v>2.9703851010545201</v>
      </c>
      <c r="AC22">
        <v>50</v>
      </c>
      <c r="AD22">
        <v>2</v>
      </c>
      <c r="AE22">
        <v>2000000</v>
      </c>
      <c r="AF22">
        <v>600</v>
      </c>
    </row>
    <row r="23" spans="7:32" x14ac:dyDescent="0.25">
      <c r="S23" s="12">
        <v>18</v>
      </c>
      <c r="T23" s="12">
        <v>3.1044835119999998</v>
      </c>
      <c r="U23" s="12">
        <v>50</v>
      </c>
      <c r="V23" s="12">
        <v>2</v>
      </c>
      <c r="W23" s="12">
        <v>1862324</v>
      </c>
      <c r="X23" s="12">
        <v>600</v>
      </c>
      <c r="AA23">
        <v>18</v>
      </c>
      <c r="AB23">
        <v>3.0827194370778801</v>
      </c>
      <c r="AC23">
        <v>50</v>
      </c>
      <c r="AD23">
        <v>2</v>
      </c>
      <c r="AE23">
        <v>2000000</v>
      </c>
      <c r="AF23">
        <v>600</v>
      </c>
    </row>
    <row r="24" spans="7:32" x14ac:dyDescent="0.25">
      <c r="S24" s="12">
        <v>19</v>
      </c>
      <c r="T24" s="12">
        <v>3.210716788</v>
      </c>
      <c r="U24" s="12">
        <v>50</v>
      </c>
      <c r="V24" s="12">
        <v>2</v>
      </c>
      <c r="W24" s="12">
        <v>1922610</v>
      </c>
      <c r="X24" s="12">
        <v>600</v>
      </c>
      <c r="AA24">
        <v>19</v>
      </c>
      <c r="AB24">
        <v>3.1814131008577</v>
      </c>
      <c r="AC24">
        <v>50</v>
      </c>
      <c r="AD24">
        <v>2</v>
      </c>
      <c r="AE24">
        <v>2000000</v>
      </c>
      <c r="AF24">
        <v>600</v>
      </c>
    </row>
    <row r="25" spans="7:32" x14ac:dyDescent="0.25">
      <c r="S25" s="12">
        <v>20</v>
      </c>
      <c r="T25" s="12">
        <v>3.3039491519999999</v>
      </c>
      <c r="U25" s="12">
        <v>50</v>
      </c>
      <c r="V25" s="12">
        <v>2</v>
      </c>
      <c r="W25" s="12">
        <v>1971238</v>
      </c>
      <c r="X25" s="12">
        <v>600</v>
      </c>
      <c r="AA25">
        <v>20</v>
      </c>
      <c r="AB25">
        <v>3.2692480353892299</v>
      </c>
      <c r="AC25">
        <v>50</v>
      </c>
      <c r="AD25">
        <v>2</v>
      </c>
      <c r="AE25">
        <v>2000000</v>
      </c>
      <c r="AF25">
        <v>600</v>
      </c>
    </row>
    <row r="26" spans="7:32" x14ac:dyDescent="0.25">
      <c r="S26" s="12">
        <v>21</v>
      </c>
      <c r="T26" s="12">
        <v>3.3754053970000002</v>
      </c>
      <c r="U26" s="12">
        <v>50</v>
      </c>
      <c r="V26" s="12">
        <v>2</v>
      </c>
      <c r="W26" s="12">
        <v>2000000</v>
      </c>
      <c r="X26" s="12">
        <v>600</v>
      </c>
      <c r="AA26">
        <v>21</v>
      </c>
      <c r="AB26">
        <v>3.34631146896748</v>
      </c>
      <c r="AC26">
        <v>50</v>
      </c>
      <c r="AD26">
        <v>2</v>
      </c>
      <c r="AE26">
        <v>2000000</v>
      </c>
      <c r="AF26">
        <v>600</v>
      </c>
    </row>
    <row r="27" spans="7:32" x14ac:dyDescent="0.25">
      <c r="S27" s="12">
        <v>22</v>
      </c>
      <c r="T27" s="12">
        <v>3.4121860439999998</v>
      </c>
      <c r="U27" s="12">
        <v>50</v>
      </c>
      <c r="V27" s="12">
        <v>2</v>
      </c>
      <c r="W27" s="12">
        <v>2000000</v>
      </c>
      <c r="X27" s="12">
        <v>600</v>
      </c>
      <c r="AA27">
        <v>22</v>
      </c>
      <c r="AB27">
        <v>3.3902586096430198</v>
      </c>
      <c r="AC27">
        <v>50</v>
      </c>
      <c r="AD27">
        <v>2</v>
      </c>
      <c r="AE27">
        <v>2000000</v>
      </c>
      <c r="AF27">
        <v>600</v>
      </c>
    </row>
    <row r="28" spans="7:32" x14ac:dyDescent="0.25">
      <c r="S28" s="12">
        <v>23</v>
      </c>
      <c r="T28" s="12">
        <v>3.4370633320000001</v>
      </c>
      <c r="U28" s="12">
        <v>50</v>
      </c>
      <c r="V28" s="12">
        <v>2</v>
      </c>
      <c r="W28" s="12">
        <v>2000000</v>
      </c>
      <c r="X28" s="12">
        <v>600</v>
      </c>
      <c r="AA28">
        <v>23</v>
      </c>
      <c r="AB28">
        <v>3.4222049832983901</v>
      </c>
      <c r="AC28">
        <v>50</v>
      </c>
      <c r="AD28">
        <v>2</v>
      </c>
      <c r="AE28">
        <v>2000000</v>
      </c>
      <c r="AF28">
        <v>600</v>
      </c>
    </row>
    <row r="29" spans="7:32" x14ac:dyDescent="0.25">
      <c r="S29" s="12">
        <v>24</v>
      </c>
      <c r="T29" s="12">
        <v>3.4587884990000002</v>
      </c>
      <c r="U29" s="12">
        <v>50</v>
      </c>
      <c r="V29" s="12">
        <v>2</v>
      </c>
      <c r="W29" s="12">
        <v>2000000</v>
      </c>
      <c r="X29" s="12">
        <v>600</v>
      </c>
      <c r="AA29">
        <v>24</v>
      </c>
      <c r="AB29">
        <v>3.4397285287494999</v>
      </c>
      <c r="AC29">
        <v>50</v>
      </c>
      <c r="AD29">
        <v>2</v>
      </c>
      <c r="AE29">
        <v>2000000</v>
      </c>
      <c r="AF29">
        <v>600</v>
      </c>
    </row>
    <row r="30" spans="7:32" x14ac:dyDescent="0.25">
      <c r="S30" s="12">
        <v>25</v>
      </c>
      <c r="T30" s="12">
        <v>3.4535568620000001</v>
      </c>
      <c r="U30" s="12">
        <v>50</v>
      </c>
      <c r="V30" s="12">
        <v>2</v>
      </c>
      <c r="W30" s="12">
        <v>2000000</v>
      </c>
      <c r="X30" s="12">
        <v>600</v>
      </c>
      <c r="AA30">
        <v>25</v>
      </c>
      <c r="AB30">
        <v>3.4548565566187399</v>
      </c>
      <c r="AC30">
        <v>50</v>
      </c>
      <c r="AD30">
        <v>2</v>
      </c>
      <c r="AE30">
        <v>2000000</v>
      </c>
      <c r="AF30">
        <v>600</v>
      </c>
    </row>
    <row r="31" spans="7:32" x14ac:dyDescent="0.25">
      <c r="S31" s="12">
        <v>26</v>
      </c>
      <c r="T31" s="12">
        <v>3.4453679510000002</v>
      </c>
      <c r="U31" s="12">
        <v>50</v>
      </c>
      <c r="V31" s="12">
        <v>2</v>
      </c>
      <c r="W31" s="12">
        <v>2000000</v>
      </c>
      <c r="X31" s="12">
        <v>600</v>
      </c>
      <c r="AA31">
        <v>26</v>
      </c>
      <c r="AB31">
        <v>3.4690494610669198</v>
      </c>
      <c r="AC31">
        <v>50</v>
      </c>
      <c r="AD31">
        <v>2</v>
      </c>
      <c r="AE31">
        <v>2000000</v>
      </c>
      <c r="AF31">
        <v>600</v>
      </c>
    </row>
    <row r="32" spans="7:32" x14ac:dyDescent="0.25">
      <c r="S32" s="12">
        <v>27</v>
      </c>
      <c r="T32" s="12">
        <v>3.4371790400000002</v>
      </c>
      <c r="U32" s="12">
        <v>50</v>
      </c>
      <c r="V32" s="12">
        <v>2</v>
      </c>
      <c r="W32" s="12">
        <v>2000000</v>
      </c>
      <c r="X32" s="12">
        <v>600</v>
      </c>
      <c r="AA32">
        <v>27</v>
      </c>
      <c r="AB32">
        <v>3.4832423655151001</v>
      </c>
      <c r="AC32">
        <v>50</v>
      </c>
      <c r="AD32">
        <v>2</v>
      </c>
      <c r="AE32">
        <v>2000000</v>
      </c>
      <c r="AF32">
        <v>600</v>
      </c>
    </row>
    <row r="33" spans="21:30" ht="15.75" thickBot="1" x14ac:dyDescent="0.3"/>
    <row r="34" spans="21:30" ht="15.75" thickBot="1" x14ac:dyDescent="0.3">
      <c r="AA34" s="9" t="s">
        <v>16</v>
      </c>
      <c r="AB34" s="11"/>
    </row>
    <row r="35" spans="21:30" ht="15.75" thickBot="1" x14ac:dyDescent="0.3">
      <c r="U35" s="13" t="s">
        <v>13</v>
      </c>
      <c r="Y35" t="s">
        <v>7</v>
      </c>
      <c r="Z35" t="s">
        <v>8</v>
      </c>
      <c r="AA35" t="s">
        <v>9</v>
      </c>
      <c r="AB35" t="s">
        <v>10</v>
      </c>
      <c r="AC35" t="s">
        <v>11</v>
      </c>
      <c r="AD35" t="s">
        <v>12</v>
      </c>
    </row>
    <row r="36" spans="21:30" x14ac:dyDescent="0.25">
      <c r="Y36">
        <v>0</v>
      </c>
      <c r="Z36">
        <v>1.16369025971786</v>
      </c>
      <c r="AA36">
        <v>370</v>
      </c>
      <c r="AB36">
        <v>1.4030768497089401</v>
      </c>
      <c r="AC36">
        <v>2000000</v>
      </c>
      <c r="AD36">
        <v>600</v>
      </c>
    </row>
    <row r="37" spans="21:30" x14ac:dyDescent="0.25">
      <c r="Y37">
        <v>1</v>
      </c>
      <c r="Z37">
        <v>1.24913354186229</v>
      </c>
      <c r="AA37">
        <v>240</v>
      </c>
      <c r="AB37">
        <v>0.81860430505974402</v>
      </c>
      <c r="AC37">
        <v>2000000</v>
      </c>
      <c r="AD37">
        <v>600</v>
      </c>
    </row>
    <row r="38" spans="21:30" x14ac:dyDescent="0.25">
      <c r="Y38">
        <v>2</v>
      </c>
      <c r="Z38">
        <v>1.3442212751009299</v>
      </c>
      <c r="AA38">
        <v>240</v>
      </c>
      <c r="AB38">
        <v>0.79606329054005198</v>
      </c>
      <c r="AC38">
        <v>2000000</v>
      </c>
      <c r="AD38">
        <v>600</v>
      </c>
    </row>
    <row r="39" spans="21:30" x14ac:dyDescent="0.25">
      <c r="Y39">
        <v>3</v>
      </c>
      <c r="Z39">
        <v>1.43651239789754</v>
      </c>
      <c r="AA39">
        <v>240</v>
      </c>
      <c r="AB39">
        <v>0.77047249571731602</v>
      </c>
      <c r="AC39">
        <v>2000000</v>
      </c>
      <c r="AD39">
        <v>600</v>
      </c>
    </row>
    <row r="40" spans="21:30" x14ac:dyDescent="0.25">
      <c r="Y40">
        <v>4</v>
      </c>
      <c r="Z40">
        <v>1.5291609066156</v>
      </c>
      <c r="AA40">
        <v>240</v>
      </c>
      <c r="AB40">
        <v>0.74402489777622305</v>
      </c>
      <c r="AC40">
        <v>2000000</v>
      </c>
      <c r="AD40">
        <v>600</v>
      </c>
    </row>
    <row r="41" spans="21:30" x14ac:dyDescent="0.25">
      <c r="Y41">
        <v>5</v>
      </c>
      <c r="Z41">
        <v>1.63174028144106</v>
      </c>
      <c r="AA41">
        <v>370</v>
      </c>
      <c r="AB41">
        <v>1.9027261782570299</v>
      </c>
      <c r="AC41">
        <v>2000000</v>
      </c>
      <c r="AD41">
        <v>600</v>
      </c>
    </row>
    <row r="42" spans="21:30" x14ac:dyDescent="0.25">
      <c r="Y42">
        <v>6</v>
      </c>
      <c r="Z42">
        <v>1.73326314317009</v>
      </c>
      <c r="AA42">
        <v>370</v>
      </c>
      <c r="AB42">
        <v>1.9178953936183301</v>
      </c>
      <c r="AC42">
        <v>2000000</v>
      </c>
      <c r="AD42">
        <v>600</v>
      </c>
    </row>
    <row r="43" spans="21:30" x14ac:dyDescent="0.25">
      <c r="Y43">
        <v>7</v>
      </c>
      <c r="Z43">
        <v>1.8344830952098099</v>
      </c>
      <c r="AA43">
        <v>370</v>
      </c>
      <c r="AB43">
        <v>2</v>
      </c>
      <c r="AC43">
        <v>2000000</v>
      </c>
      <c r="AD43">
        <v>600</v>
      </c>
    </row>
    <row r="44" spans="21:30" x14ac:dyDescent="0.25">
      <c r="Y44">
        <v>8</v>
      </c>
      <c r="Z44">
        <v>1.93633394708781</v>
      </c>
      <c r="AA44">
        <v>370</v>
      </c>
      <c r="AB44">
        <v>2</v>
      </c>
      <c r="AC44">
        <v>2000000</v>
      </c>
      <c r="AD44">
        <v>600</v>
      </c>
    </row>
    <row r="45" spans="21:30" x14ac:dyDescent="0.25">
      <c r="Y45">
        <v>9</v>
      </c>
      <c r="Z45">
        <v>2.0452641518224799</v>
      </c>
      <c r="AA45">
        <v>370</v>
      </c>
      <c r="AB45">
        <v>2</v>
      </c>
      <c r="AC45">
        <v>2000000</v>
      </c>
      <c r="AD45">
        <v>600</v>
      </c>
    </row>
    <row r="46" spans="21:30" x14ac:dyDescent="0.25">
      <c r="Y46">
        <v>10</v>
      </c>
      <c r="Z46">
        <v>2.1523191707020302</v>
      </c>
      <c r="AA46">
        <v>370</v>
      </c>
      <c r="AB46">
        <v>2</v>
      </c>
      <c r="AC46">
        <v>2000000</v>
      </c>
      <c r="AD46">
        <v>600</v>
      </c>
    </row>
    <row r="47" spans="21:30" x14ac:dyDescent="0.25">
      <c r="Y47">
        <v>11</v>
      </c>
      <c r="Z47">
        <v>2.2580761461679302</v>
      </c>
      <c r="AA47">
        <v>370</v>
      </c>
      <c r="AB47">
        <v>2</v>
      </c>
      <c r="AC47">
        <v>2000000</v>
      </c>
      <c r="AD47">
        <v>600</v>
      </c>
    </row>
    <row r="48" spans="21:30" x14ac:dyDescent="0.25">
      <c r="Y48">
        <v>12</v>
      </c>
      <c r="Z48">
        <v>2.3777388265627799</v>
      </c>
      <c r="AA48">
        <v>284</v>
      </c>
      <c r="AB48">
        <v>1.6029833319726401</v>
      </c>
      <c r="AC48">
        <v>2000000</v>
      </c>
      <c r="AD48">
        <v>600</v>
      </c>
    </row>
    <row r="49" spans="25:30" x14ac:dyDescent="0.25">
      <c r="Y49">
        <v>13</v>
      </c>
      <c r="Z49">
        <v>2.49639794926521</v>
      </c>
      <c r="AA49">
        <v>287</v>
      </c>
      <c r="AB49">
        <v>1.65365356228209</v>
      </c>
      <c r="AC49">
        <v>2000000</v>
      </c>
      <c r="AD49">
        <v>600</v>
      </c>
    </row>
    <row r="50" spans="25:30" x14ac:dyDescent="0.25">
      <c r="Y50">
        <v>14</v>
      </c>
      <c r="Z50">
        <v>2.6158093888716598</v>
      </c>
      <c r="AA50">
        <v>290</v>
      </c>
      <c r="AB50">
        <v>1.7259047066175299</v>
      </c>
      <c r="AC50">
        <v>2000000</v>
      </c>
      <c r="AD50">
        <v>600</v>
      </c>
    </row>
    <row r="51" spans="25:30" x14ac:dyDescent="0.25">
      <c r="Y51">
        <v>15</v>
      </c>
      <c r="Z51">
        <v>2.71094462300836</v>
      </c>
      <c r="AA51">
        <v>323</v>
      </c>
      <c r="AB51">
        <v>2</v>
      </c>
      <c r="AC51">
        <v>2000000</v>
      </c>
      <c r="AD51">
        <v>600</v>
      </c>
    </row>
    <row r="52" spans="25:30" x14ac:dyDescent="0.25">
      <c r="Y52">
        <v>16</v>
      </c>
      <c r="Z52">
        <v>2.8522603082045999</v>
      </c>
      <c r="AA52">
        <v>298</v>
      </c>
      <c r="AB52">
        <v>1.81541996575431</v>
      </c>
      <c r="AC52">
        <v>2000000</v>
      </c>
      <c r="AD52">
        <v>600</v>
      </c>
    </row>
    <row r="53" spans="25:30" x14ac:dyDescent="0.25">
      <c r="Y53">
        <v>17</v>
      </c>
      <c r="Z53">
        <v>2.9719790976206601</v>
      </c>
      <c r="AA53">
        <v>295</v>
      </c>
      <c r="AB53">
        <v>1.85732315256537</v>
      </c>
      <c r="AC53">
        <v>2000000</v>
      </c>
      <c r="AD53">
        <v>600</v>
      </c>
    </row>
    <row r="54" spans="25:30" x14ac:dyDescent="0.25">
      <c r="Y54">
        <v>18</v>
      </c>
      <c r="Z54">
        <v>3.0902094245203799</v>
      </c>
      <c r="AA54">
        <v>301</v>
      </c>
      <c r="AB54">
        <v>1.9152752613630399</v>
      </c>
      <c r="AC54">
        <v>2000000</v>
      </c>
      <c r="AD54">
        <v>600</v>
      </c>
    </row>
    <row r="55" spans="25:30" x14ac:dyDescent="0.25">
      <c r="Y55">
        <v>19</v>
      </c>
      <c r="Z55">
        <v>3.2060834969884802</v>
      </c>
      <c r="AA55">
        <v>299</v>
      </c>
      <c r="AB55">
        <v>2</v>
      </c>
      <c r="AC55">
        <v>2000000</v>
      </c>
      <c r="AD55">
        <v>600</v>
      </c>
    </row>
    <row r="56" spans="25:30" x14ac:dyDescent="0.25">
      <c r="Y56">
        <v>20</v>
      </c>
      <c r="Z56">
        <v>3.2979787911071998</v>
      </c>
      <c r="AA56">
        <v>299</v>
      </c>
      <c r="AB56">
        <v>2</v>
      </c>
      <c r="AC56">
        <v>2000000</v>
      </c>
      <c r="AD56">
        <v>600</v>
      </c>
    </row>
    <row r="57" spans="25:30" x14ac:dyDescent="0.25">
      <c r="Y57">
        <v>21</v>
      </c>
      <c r="Z57">
        <v>3.3601181784771201</v>
      </c>
      <c r="AA57">
        <v>295</v>
      </c>
      <c r="AB57">
        <v>2</v>
      </c>
      <c r="AC57">
        <v>2000000</v>
      </c>
      <c r="AD57">
        <v>600</v>
      </c>
    </row>
    <row r="58" spans="25:30" x14ac:dyDescent="0.25">
      <c r="Y58">
        <v>22</v>
      </c>
      <c r="Z58">
        <v>3.4029657145452501</v>
      </c>
      <c r="AA58">
        <v>284</v>
      </c>
      <c r="AB58">
        <v>2</v>
      </c>
      <c r="AC58">
        <v>2000000</v>
      </c>
      <c r="AD58">
        <v>600</v>
      </c>
    </row>
    <row r="59" spans="25:30" x14ac:dyDescent="0.25">
      <c r="Y59">
        <v>23</v>
      </c>
      <c r="Z59">
        <v>3.4253480456309799</v>
      </c>
      <c r="AA59">
        <v>272</v>
      </c>
      <c r="AB59">
        <v>2</v>
      </c>
      <c r="AC59">
        <v>2000000</v>
      </c>
      <c r="AD59">
        <v>600</v>
      </c>
    </row>
    <row r="60" spans="25:30" x14ac:dyDescent="0.25">
      <c r="Y60">
        <v>24</v>
      </c>
      <c r="Z60">
        <v>3.44238874354058</v>
      </c>
      <c r="AA60">
        <v>262</v>
      </c>
      <c r="AB60">
        <v>2</v>
      </c>
      <c r="AC60">
        <v>2000000</v>
      </c>
      <c r="AD60">
        <v>600</v>
      </c>
    </row>
    <row r="61" spans="25:30" x14ac:dyDescent="0.25">
      <c r="Y61">
        <v>25</v>
      </c>
      <c r="Z61">
        <v>3.4657011033449399</v>
      </c>
      <c r="AA61">
        <v>240</v>
      </c>
      <c r="AB61">
        <v>2</v>
      </c>
      <c r="AC61">
        <v>2000000</v>
      </c>
      <c r="AD61">
        <v>600</v>
      </c>
    </row>
    <row r="62" spans="25:30" x14ac:dyDescent="0.25">
      <c r="Y62">
        <v>26</v>
      </c>
      <c r="Z62">
        <v>3.4827335625295399</v>
      </c>
      <c r="AA62">
        <v>240</v>
      </c>
      <c r="AB62">
        <v>2</v>
      </c>
      <c r="AC62">
        <v>2000000</v>
      </c>
      <c r="AD62">
        <v>600</v>
      </c>
    </row>
    <row r="63" spans="25:30" x14ac:dyDescent="0.25">
      <c r="Y63">
        <v>27</v>
      </c>
      <c r="Z63">
        <v>3.49976602171414</v>
      </c>
      <c r="AA63">
        <v>240</v>
      </c>
      <c r="AB63">
        <v>2</v>
      </c>
      <c r="AC63">
        <v>2000000</v>
      </c>
      <c r="AD63">
        <v>600</v>
      </c>
    </row>
  </sheetData>
  <mergeCells count="3">
    <mergeCell ref="B2:E2"/>
    <mergeCell ref="G2:J2"/>
    <mergeCell ref="L2:O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PICET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Chauhan</dc:creator>
  <cp:lastModifiedBy>Mugisha Enoch</cp:lastModifiedBy>
  <dcterms:created xsi:type="dcterms:W3CDTF">2025-02-26T17:43:25Z</dcterms:created>
  <dcterms:modified xsi:type="dcterms:W3CDTF">2025-10-09T06:21:36Z</dcterms:modified>
</cp:coreProperties>
</file>